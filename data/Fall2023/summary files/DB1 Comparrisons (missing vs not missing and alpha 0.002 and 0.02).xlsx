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mu0-my.sharepoint.com/personal/nchun2_lion_lmu_edu/Documents/Documents/GitHub/DahlquistLabTest/data/Fall2023/summary files/"/>
    </mc:Choice>
  </mc:AlternateContent>
  <xr:revisionPtr revIDLastSave="0" documentId="8_{CA3940F8-2851-44F8-8603-CE104A2AD1ED}" xr6:coauthVersionLast="47" xr6:coauthVersionMax="47" xr10:uidLastSave="{00000000-0000-0000-0000-000000000000}"/>
  <bookViews>
    <workbookView xWindow="-9830" yWindow="-21710" windowWidth="38620" windowHeight="21100" activeTab="2" xr2:uid="{2129298C-101F-4385-BEF7-088C750FC47E}"/>
  </bookViews>
  <sheets>
    <sheet name="Optimized Production Rates" sheetId="1" r:id="rId1"/>
    <sheet name="Optimized B Values" sheetId="2" r:id="rId2"/>
    <sheet name="Optimized Weights" sheetId="3" r:id="rId3"/>
    <sheet name="Optimization Diagnostic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6" i="2" l="1"/>
  <c r="O36" i="2"/>
  <c r="O54" i="2" s="1"/>
  <c r="N37" i="2"/>
  <c r="N54" i="2" s="1"/>
  <c r="O37" i="2"/>
  <c r="N38" i="2"/>
  <c r="O38" i="2"/>
  <c r="N39" i="2"/>
  <c r="O39" i="2"/>
  <c r="N40" i="2"/>
  <c r="O40" i="2"/>
  <c r="N41" i="2"/>
  <c r="O41" i="2"/>
  <c r="N42" i="2"/>
  <c r="O42" i="2"/>
  <c r="N43" i="2"/>
  <c r="O43" i="2"/>
  <c r="N44" i="2"/>
  <c r="O44" i="2"/>
  <c r="N45" i="2"/>
  <c r="O45" i="2"/>
  <c r="N46" i="2"/>
  <c r="O46" i="2"/>
  <c r="N47" i="2"/>
  <c r="O47" i="2"/>
  <c r="N48" i="2"/>
  <c r="O48" i="2"/>
  <c r="N49" i="2"/>
  <c r="O49" i="2"/>
  <c r="N50" i="2"/>
  <c r="O50" i="2"/>
  <c r="O35" i="2"/>
  <c r="N35" i="2"/>
  <c r="N51" i="2" s="1"/>
  <c r="G75" i="1"/>
  <c r="G76" i="1"/>
  <c r="F75" i="1"/>
  <c r="F76" i="1"/>
  <c r="G73" i="1"/>
  <c r="G74" i="1"/>
  <c r="F74" i="1"/>
  <c r="F73" i="1"/>
  <c r="F57" i="1"/>
  <c r="F58" i="1"/>
  <c r="G58" i="1"/>
  <c r="F59" i="1"/>
  <c r="G59" i="1"/>
  <c r="F60" i="1"/>
  <c r="G60" i="1"/>
  <c r="F61" i="1"/>
  <c r="G61" i="1"/>
  <c r="F62" i="1"/>
  <c r="G62" i="1"/>
  <c r="F63" i="1"/>
  <c r="G63" i="1"/>
  <c r="F64" i="1"/>
  <c r="G64" i="1"/>
  <c r="F65" i="1"/>
  <c r="G65" i="1"/>
  <c r="F66" i="1"/>
  <c r="G66" i="1"/>
  <c r="F67" i="1"/>
  <c r="G67" i="1"/>
  <c r="F68" i="1"/>
  <c r="G68" i="1"/>
  <c r="F69" i="1"/>
  <c r="G69" i="1"/>
  <c r="F70" i="1"/>
  <c r="G70" i="1"/>
  <c r="F71" i="1"/>
  <c r="G71" i="1"/>
  <c r="F72" i="1"/>
  <c r="G72" i="1"/>
  <c r="G57" i="1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43" i="3"/>
  <c r="G143" i="3"/>
  <c r="G222" i="3"/>
  <c r="G221" i="3"/>
  <c r="G220" i="3"/>
  <c r="C222" i="3"/>
  <c r="C221" i="3"/>
  <c r="C220" i="3"/>
  <c r="G144" i="3"/>
  <c r="G181" i="3" s="1"/>
  <c r="H144" i="3"/>
  <c r="H179" i="3" s="1"/>
  <c r="G145" i="3"/>
  <c r="H145" i="3"/>
  <c r="G146" i="3"/>
  <c r="H146" i="3"/>
  <c r="G147" i="3"/>
  <c r="H147" i="3"/>
  <c r="G148" i="3"/>
  <c r="H148" i="3"/>
  <c r="G149" i="3"/>
  <c r="H149" i="3"/>
  <c r="G150" i="3"/>
  <c r="H150" i="3"/>
  <c r="G151" i="3"/>
  <c r="H151" i="3"/>
  <c r="G152" i="3"/>
  <c r="H152" i="3"/>
  <c r="G153" i="3"/>
  <c r="H153" i="3"/>
  <c r="G154" i="3"/>
  <c r="H154" i="3"/>
  <c r="G155" i="3"/>
  <c r="H155" i="3"/>
  <c r="G156" i="3"/>
  <c r="H156" i="3"/>
  <c r="G157" i="3"/>
  <c r="H157" i="3"/>
  <c r="G158" i="3"/>
  <c r="H158" i="3"/>
  <c r="G159" i="3"/>
  <c r="H159" i="3"/>
  <c r="G160" i="3"/>
  <c r="H160" i="3"/>
  <c r="G161" i="3"/>
  <c r="H161" i="3"/>
  <c r="G162" i="3"/>
  <c r="H162" i="3"/>
  <c r="G163" i="3"/>
  <c r="H163" i="3"/>
  <c r="G164" i="3"/>
  <c r="H164" i="3"/>
  <c r="G165" i="3"/>
  <c r="H165" i="3"/>
  <c r="G166" i="3"/>
  <c r="H166" i="3"/>
  <c r="G167" i="3"/>
  <c r="H167" i="3"/>
  <c r="G168" i="3"/>
  <c r="H168" i="3"/>
  <c r="G169" i="3"/>
  <c r="H169" i="3"/>
  <c r="G170" i="3"/>
  <c r="H170" i="3"/>
  <c r="G171" i="3"/>
  <c r="H171" i="3"/>
  <c r="G172" i="3"/>
  <c r="H172" i="3"/>
  <c r="G173" i="3"/>
  <c r="H173" i="3"/>
  <c r="G174" i="3"/>
  <c r="H174" i="3"/>
  <c r="G175" i="3"/>
  <c r="H175" i="3"/>
  <c r="G176" i="3"/>
  <c r="H176" i="3"/>
  <c r="G177" i="3"/>
  <c r="H177" i="3"/>
  <c r="G178" i="3"/>
  <c r="H178" i="3"/>
  <c r="H143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G50" i="2"/>
  <c r="F50" i="2"/>
  <c r="G49" i="2"/>
  <c r="F49" i="2"/>
  <c r="G48" i="2"/>
  <c r="F48" i="2"/>
  <c r="G47" i="2"/>
  <c r="F47" i="2"/>
  <c r="G46" i="2"/>
  <c r="F46" i="2"/>
  <c r="G45" i="2"/>
  <c r="F45" i="2"/>
  <c r="G44" i="2"/>
  <c r="F44" i="2"/>
  <c r="G43" i="2"/>
  <c r="F43" i="2"/>
  <c r="G42" i="2"/>
  <c r="F42" i="2"/>
  <c r="G41" i="2"/>
  <c r="F41" i="2"/>
  <c r="G40" i="2"/>
  <c r="F40" i="2"/>
  <c r="G39" i="2"/>
  <c r="F39" i="2"/>
  <c r="G38" i="2"/>
  <c r="F38" i="2"/>
  <c r="G37" i="2"/>
  <c r="F37" i="2"/>
  <c r="G36" i="2"/>
  <c r="F36" i="2"/>
  <c r="G35" i="2"/>
  <c r="G54" i="2" s="1"/>
  <c r="F35" i="2"/>
  <c r="F53" i="2" s="1"/>
  <c r="G51" i="1"/>
  <c r="G52" i="1"/>
  <c r="G53" i="1"/>
  <c r="F53" i="1"/>
  <c r="F52" i="1"/>
  <c r="F51" i="1"/>
  <c r="F49" i="1"/>
  <c r="G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J72" i="4"/>
  <c r="K72" i="4"/>
  <c r="L72" i="4"/>
  <c r="M72" i="4"/>
  <c r="N72" i="4"/>
  <c r="O72" i="4"/>
  <c r="J73" i="4"/>
  <c r="K73" i="4"/>
  <c r="L73" i="4"/>
  <c r="M73" i="4"/>
  <c r="N73" i="4"/>
  <c r="O73" i="4"/>
  <c r="J74" i="4"/>
  <c r="K74" i="4"/>
  <c r="L74" i="4"/>
  <c r="M74" i="4"/>
  <c r="N74" i="4"/>
  <c r="O74" i="4"/>
  <c r="J75" i="4"/>
  <c r="K75" i="4"/>
  <c r="L75" i="4"/>
  <c r="M75" i="4"/>
  <c r="N75" i="4"/>
  <c r="O75" i="4"/>
  <c r="J76" i="4"/>
  <c r="K76" i="4"/>
  <c r="L76" i="4"/>
  <c r="M76" i="4"/>
  <c r="N76" i="4"/>
  <c r="O76" i="4"/>
  <c r="J77" i="4"/>
  <c r="K77" i="4"/>
  <c r="L77" i="4"/>
  <c r="M77" i="4"/>
  <c r="N77" i="4"/>
  <c r="O77" i="4"/>
  <c r="J78" i="4"/>
  <c r="K78" i="4"/>
  <c r="L78" i="4"/>
  <c r="M78" i="4"/>
  <c r="N78" i="4"/>
  <c r="O78" i="4"/>
  <c r="J79" i="4"/>
  <c r="K79" i="4"/>
  <c r="L79" i="4"/>
  <c r="M79" i="4"/>
  <c r="N79" i="4"/>
  <c r="O79" i="4"/>
  <c r="J80" i="4"/>
  <c r="K80" i="4"/>
  <c r="L80" i="4"/>
  <c r="M80" i="4"/>
  <c r="N80" i="4"/>
  <c r="O80" i="4"/>
  <c r="J81" i="4"/>
  <c r="K81" i="4"/>
  <c r="L81" i="4"/>
  <c r="M81" i="4"/>
  <c r="N81" i="4"/>
  <c r="O81" i="4"/>
  <c r="J82" i="4"/>
  <c r="K82" i="4"/>
  <c r="L82" i="4"/>
  <c r="M82" i="4"/>
  <c r="N82" i="4"/>
  <c r="O82" i="4"/>
  <c r="J83" i="4"/>
  <c r="K83" i="4"/>
  <c r="L83" i="4"/>
  <c r="M83" i="4"/>
  <c r="N83" i="4"/>
  <c r="O83" i="4"/>
  <c r="J84" i="4"/>
  <c r="K84" i="4"/>
  <c r="L84" i="4"/>
  <c r="M84" i="4"/>
  <c r="N84" i="4"/>
  <c r="O84" i="4"/>
  <c r="J85" i="4"/>
  <c r="K85" i="4"/>
  <c r="L85" i="4"/>
  <c r="M85" i="4"/>
  <c r="N85" i="4"/>
  <c r="O85" i="4"/>
  <c r="J86" i="4"/>
  <c r="K86" i="4"/>
  <c r="L86" i="4"/>
  <c r="M86" i="4"/>
  <c r="N86" i="4"/>
  <c r="O86" i="4"/>
  <c r="K71" i="4"/>
  <c r="L71" i="4"/>
  <c r="M71" i="4"/>
  <c r="N71" i="4"/>
  <c r="O71" i="4"/>
  <c r="J71" i="4"/>
  <c r="B72" i="4"/>
  <c r="C72" i="4"/>
  <c r="D72" i="4"/>
  <c r="E72" i="4"/>
  <c r="F72" i="4"/>
  <c r="G72" i="4"/>
  <c r="B73" i="4"/>
  <c r="C73" i="4"/>
  <c r="D73" i="4"/>
  <c r="E73" i="4"/>
  <c r="F73" i="4"/>
  <c r="G73" i="4"/>
  <c r="B74" i="4"/>
  <c r="C74" i="4"/>
  <c r="D74" i="4"/>
  <c r="E74" i="4"/>
  <c r="F74" i="4"/>
  <c r="G74" i="4"/>
  <c r="B75" i="4"/>
  <c r="C75" i="4"/>
  <c r="D75" i="4"/>
  <c r="E75" i="4"/>
  <c r="F75" i="4"/>
  <c r="G75" i="4"/>
  <c r="B76" i="4"/>
  <c r="C76" i="4"/>
  <c r="D76" i="4"/>
  <c r="E76" i="4"/>
  <c r="F76" i="4"/>
  <c r="G76" i="4"/>
  <c r="B77" i="4"/>
  <c r="C77" i="4"/>
  <c r="D77" i="4"/>
  <c r="E77" i="4"/>
  <c r="F77" i="4"/>
  <c r="G77" i="4"/>
  <c r="B78" i="4"/>
  <c r="C78" i="4"/>
  <c r="D78" i="4"/>
  <c r="E78" i="4"/>
  <c r="F78" i="4"/>
  <c r="G78" i="4"/>
  <c r="B79" i="4"/>
  <c r="C79" i="4"/>
  <c r="D79" i="4"/>
  <c r="E79" i="4"/>
  <c r="F79" i="4"/>
  <c r="G79" i="4"/>
  <c r="B80" i="4"/>
  <c r="C80" i="4"/>
  <c r="D80" i="4"/>
  <c r="E80" i="4"/>
  <c r="F80" i="4"/>
  <c r="G80" i="4"/>
  <c r="B81" i="4"/>
  <c r="C81" i="4"/>
  <c r="D81" i="4"/>
  <c r="E81" i="4"/>
  <c r="F81" i="4"/>
  <c r="G81" i="4"/>
  <c r="B82" i="4"/>
  <c r="C82" i="4"/>
  <c r="D82" i="4"/>
  <c r="E82" i="4"/>
  <c r="F82" i="4"/>
  <c r="G82" i="4"/>
  <c r="B83" i="4"/>
  <c r="C83" i="4"/>
  <c r="D83" i="4"/>
  <c r="E83" i="4"/>
  <c r="F83" i="4"/>
  <c r="G83" i="4"/>
  <c r="B84" i="4"/>
  <c r="C84" i="4"/>
  <c r="D84" i="4"/>
  <c r="E84" i="4"/>
  <c r="F84" i="4"/>
  <c r="G84" i="4"/>
  <c r="B85" i="4"/>
  <c r="C85" i="4"/>
  <c r="D85" i="4"/>
  <c r="E85" i="4"/>
  <c r="F85" i="4"/>
  <c r="G85" i="4"/>
  <c r="B86" i="4"/>
  <c r="C86" i="4"/>
  <c r="D86" i="4"/>
  <c r="E86" i="4"/>
  <c r="F86" i="4"/>
  <c r="G86" i="4"/>
  <c r="G71" i="4"/>
  <c r="C71" i="4"/>
  <c r="D71" i="4"/>
  <c r="E71" i="4"/>
  <c r="F71" i="4"/>
  <c r="B71" i="4"/>
  <c r="B48" i="4"/>
  <c r="O51" i="2" l="1"/>
  <c r="N52" i="2"/>
  <c r="O52" i="2"/>
  <c r="N53" i="2"/>
  <c r="O53" i="2"/>
  <c r="G179" i="3"/>
  <c r="G180" i="3"/>
  <c r="H181" i="3"/>
  <c r="H180" i="3"/>
  <c r="F52" i="2"/>
  <c r="G53" i="2"/>
  <c r="G52" i="2"/>
  <c r="F54" i="2"/>
  <c r="T63" i="3"/>
  <c r="J4" i="2"/>
  <c r="J5" i="2"/>
  <c r="J6" i="2"/>
  <c r="J7" i="2"/>
  <c r="J22" i="2" s="1" a="1"/>
  <c r="J22" i="2" s="1"/>
  <c r="J8" i="2"/>
  <c r="J21" i="2" s="1"/>
  <c r="J9" i="2"/>
  <c r="J10" i="2"/>
  <c r="J11" i="2"/>
  <c r="J12" i="2"/>
  <c r="J13" i="2"/>
  <c r="J14" i="2"/>
  <c r="J15" i="2"/>
  <c r="J16" i="2"/>
  <c r="J17" i="2"/>
  <c r="J18" i="2"/>
  <c r="J3" i="2"/>
  <c r="I4" i="2"/>
  <c r="I5" i="2"/>
  <c r="I22" i="2" s="1" a="1"/>
  <c r="I22" i="2" s="1"/>
  <c r="I6" i="2"/>
  <c r="I7" i="2"/>
  <c r="I8" i="2"/>
  <c r="I9" i="2"/>
  <c r="I10" i="2"/>
  <c r="I23" i="2" s="1" a="1"/>
  <c r="I23" i="2" s="1"/>
  <c r="I11" i="2"/>
  <c r="I12" i="2"/>
  <c r="I13" i="2"/>
  <c r="I14" i="2"/>
  <c r="I15" i="2"/>
  <c r="I16" i="2"/>
  <c r="I17" i="2"/>
  <c r="I18" i="2"/>
  <c r="I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3" i="2"/>
  <c r="H21" i="2" s="1"/>
  <c r="G4" i="2"/>
  <c r="G5" i="2"/>
  <c r="G6" i="2"/>
  <c r="G22" i="2" s="1" a="1"/>
  <c r="G22" i="2" s="1"/>
  <c r="G7" i="2"/>
  <c r="G8" i="2"/>
  <c r="G9" i="2"/>
  <c r="G10" i="2"/>
  <c r="G11" i="2"/>
  <c r="G23" i="2" s="1" a="1"/>
  <c r="G23" i="2" s="1"/>
  <c r="G12" i="2"/>
  <c r="G13" i="2"/>
  <c r="G14" i="2"/>
  <c r="G15" i="2"/>
  <c r="G16" i="2"/>
  <c r="G17" i="2"/>
  <c r="G3" i="2"/>
  <c r="H22" i="2" a="1"/>
  <c r="H22" i="2" s="1"/>
  <c r="G3" i="1"/>
  <c r="H3" i="1"/>
  <c r="I3" i="1"/>
  <c r="G4" i="1"/>
  <c r="H4" i="1"/>
  <c r="H23" i="1" s="1" a="1"/>
  <c r="H23" i="1" s="1"/>
  <c r="I4" i="1"/>
  <c r="G5" i="1"/>
  <c r="G21" i="1" s="1"/>
  <c r="H5" i="1"/>
  <c r="I5" i="1"/>
  <c r="G6" i="1"/>
  <c r="H6" i="1"/>
  <c r="I6" i="1"/>
  <c r="G7" i="1"/>
  <c r="H7" i="1"/>
  <c r="I7" i="1"/>
  <c r="G8" i="1"/>
  <c r="H8" i="1"/>
  <c r="I8" i="1"/>
  <c r="G9" i="1"/>
  <c r="H9" i="1"/>
  <c r="I9" i="1"/>
  <c r="G10" i="1"/>
  <c r="H10" i="1"/>
  <c r="I10" i="1"/>
  <c r="G11" i="1"/>
  <c r="H11" i="1"/>
  <c r="I11" i="1"/>
  <c r="G12" i="1"/>
  <c r="H12" i="1"/>
  <c r="I12" i="1"/>
  <c r="G13" i="1"/>
  <c r="H13" i="1"/>
  <c r="I13" i="1"/>
  <c r="G14" i="1"/>
  <c r="H14" i="1"/>
  <c r="I14" i="1"/>
  <c r="G15" i="1"/>
  <c r="H15" i="1"/>
  <c r="I15" i="1"/>
  <c r="G16" i="1"/>
  <c r="H16" i="1"/>
  <c r="I16" i="1"/>
  <c r="G17" i="1"/>
  <c r="H17" i="1"/>
  <c r="I17" i="1"/>
  <c r="G18" i="1"/>
  <c r="H18" i="1"/>
  <c r="I18" i="1"/>
  <c r="J4" i="1"/>
  <c r="J5" i="1"/>
  <c r="J6" i="1"/>
  <c r="J7" i="1"/>
  <c r="J20" i="1" s="1"/>
  <c r="J8" i="1"/>
  <c r="J23" i="1" s="1" a="1"/>
  <c r="J23" i="1" s="1"/>
  <c r="J9" i="1"/>
  <c r="J10" i="1"/>
  <c r="J11" i="1"/>
  <c r="J12" i="1"/>
  <c r="J13" i="1"/>
  <c r="J14" i="1"/>
  <c r="J15" i="1"/>
  <c r="J16" i="1"/>
  <c r="J17" i="1"/>
  <c r="J18" i="1"/>
  <c r="J3" i="1"/>
  <c r="O90" i="4" a="1"/>
  <c r="O90" i="4" s="1"/>
  <c r="N90" i="4"/>
  <c r="F90" i="4"/>
  <c r="B90" i="4"/>
  <c r="G90" i="4" a="1"/>
  <c r="G90" i="4" s="1"/>
  <c r="E90" i="4"/>
  <c r="G66" i="3"/>
  <c r="N67" i="4"/>
  <c r="I67" i="4"/>
  <c r="O67" i="4" a="1"/>
  <c r="O67" i="4" s="1"/>
  <c r="M67" i="4"/>
  <c r="L67" i="4"/>
  <c r="K67" i="4"/>
  <c r="J67" i="4"/>
  <c r="G4" i="4"/>
  <c r="G5" i="4"/>
  <c r="G6" i="4"/>
  <c r="G3" i="4"/>
  <c r="O63" i="4"/>
  <c r="K48" i="4"/>
  <c r="L48" i="4"/>
  <c r="M48" i="4"/>
  <c r="N48" i="4"/>
  <c r="O48" i="4"/>
  <c r="K49" i="4"/>
  <c r="L49" i="4"/>
  <c r="M49" i="4"/>
  <c r="N49" i="4"/>
  <c r="O49" i="4"/>
  <c r="K50" i="4"/>
  <c r="L50" i="4"/>
  <c r="M50" i="4"/>
  <c r="N50" i="4"/>
  <c r="O50" i="4"/>
  <c r="K51" i="4"/>
  <c r="L51" i="4"/>
  <c r="M51" i="4"/>
  <c r="N51" i="4"/>
  <c r="O51" i="4"/>
  <c r="K52" i="4"/>
  <c r="L52" i="4"/>
  <c r="M52" i="4"/>
  <c r="N52" i="4"/>
  <c r="O52" i="4"/>
  <c r="K53" i="4"/>
  <c r="L53" i="4"/>
  <c r="M53" i="4"/>
  <c r="N53" i="4"/>
  <c r="O53" i="4"/>
  <c r="K54" i="4"/>
  <c r="L54" i="4"/>
  <c r="M54" i="4"/>
  <c r="N54" i="4"/>
  <c r="O54" i="4"/>
  <c r="K55" i="4"/>
  <c r="L55" i="4"/>
  <c r="M55" i="4"/>
  <c r="N55" i="4"/>
  <c r="O55" i="4"/>
  <c r="K56" i="4"/>
  <c r="L56" i="4"/>
  <c r="M56" i="4"/>
  <c r="N56" i="4"/>
  <c r="O56" i="4"/>
  <c r="K57" i="4"/>
  <c r="L57" i="4"/>
  <c r="M57" i="4"/>
  <c r="N57" i="4"/>
  <c r="O57" i="4"/>
  <c r="K58" i="4"/>
  <c r="L58" i="4"/>
  <c r="M58" i="4"/>
  <c r="N58" i="4"/>
  <c r="O58" i="4"/>
  <c r="K59" i="4"/>
  <c r="L59" i="4"/>
  <c r="M59" i="4"/>
  <c r="N59" i="4"/>
  <c r="O59" i="4"/>
  <c r="K60" i="4"/>
  <c r="L60" i="4"/>
  <c r="M60" i="4"/>
  <c r="N60" i="4"/>
  <c r="O60" i="4"/>
  <c r="K61" i="4"/>
  <c r="L61" i="4"/>
  <c r="M61" i="4"/>
  <c r="N61" i="4"/>
  <c r="O61" i="4"/>
  <c r="K62" i="4"/>
  <c r="L62" i="4"/>
  <c r="M62" i="4"/>
  <c r="N62" i="4"/>
  <c r="O62" i="4"/>
  <c r="K63" i="4"/>
  <c r="L63" i="4"/>
  <c r="M63" i="4"/>
  <c r="N63" i="4"/>
  <c r="J62" i="4"/>
  <c r="J63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48" i="4"/>
  <c r="C48" i="4"/>
  <c r="D48" i="4"/>
  <c r="E48" i="4"/>
  <c r="F48" i="4"/>
  <c r="G48" i="4"/>
  <c r="F67" i="4" s="1"/>
  <c r="C49" i="4"/>
  <c r="D49" i="4"/>
  <c r="E49" i="4"/>
  <c r="F49" i="4"/>
  <c r="G49" i="4"/>
  <c r="C50" i="4"/>
  <c r="D50" i="4"/>
  <c r="E50" i="4"/>
  <c r="F50" i="4"/>
  <c r="G50" i="4"/>
  <c r="C51" i="4"/>
  <c r="D51" i="4"/>
  <c r="E51" i="4"/>
  <c r="F51" i="4"/>
  <c r="G51" i="4"/>
  <c r="C52" i="4"/>
  <c r="D52" i="4"/>
  <c r="E52" i="4"/>
  <c r="F52" i="4"/>
  <c r="G52" i="4"/>
  <c r="C53" i="4"/>
  <c r="D53" i="4"/>
  <c r="E53" i="4"/>
  <c r="F53" i="4"/>
  <c r="G53" i="4"/>
  <c r="C54" i="4"/>
  <c r="D54" i="4"/>
  <c r="E54" i="4"/>
  <c r="F54" i="4"/>
  <c r="G54" i="4"/>
  <c r="C55" i="4"/>
  <c r="D55" i="4"/>
  <c r="E55" i="4"/>
  <c r="F55" i="4"/>
  <c r="G55" i="4"/>
  <c r="C56" i="4"/>
  <c r="D56" i="4"/>
  <c r="E56" i="4"/>
  <c r="F56" i="4"/>
  <c r="G56" i="4"/>
  <c r="C57" i="4"/>
  <c r="D57" i="4"/>
  <c r="E57" i="4"/>
  <c r="F57" i="4"/>
  <c r="G57" i="4"/>
  <c r="C58" i="4"/>
  <c r="D58" i="4"/>
  <c r="E58" i="4"/>
  <c r="F58" i="4"/>
  <c r="G58" i="4"/>
  <c r="C59" i="4"/>
  <c r="D59" i="4"/>
  <c r="E59" i="4"/>
  <c r="F59" i="4"/>
  <c r="G59" i="4"/>
  <c r="C60" i="4"/>
  <c r="D60" i="4"/>
  <c r="E60" i="4"/>
  <c r="F60" i="4"/>
  <c r="G60" i="4"/>
  <c r="C61" i="4"/>
  <c r="D61" i="4"/>
  <c r="E61" i="4"/>
  <c r="F61" i="4"/>
  <c r="G61" i="4"/>
  <c r="C62" i="4"/>
  <c r="D62" i="4"/>
  <c r="E62" i="4"/>
  <c r="F62" i="4"/>
  <c r="G62" i="4"/>
  <c r="C63" i="4"/>
  <c r="D63" i="4"/>
  <c r="E63" i="4"/>
  <c r="F63" i="4"/>
  <c r="G63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7" i="4"/>
  <c r="H4" i="4"/>
  <c r="H5" i="4"/>
  <c r="H6" i="4"/>
  <c r="H3" i="4"/>
  <c r="F4" i="4"/>
  <c r="F5" i="4"/>
  <c r="F6" i="4"/>
  <c r="F3" i="4"/>
  <c r="L71" i="3"/>
  <c r="K47" i="3"/>
  <c r="Y63" i="3"/>
  <c r="Z63" i="3"/>
  <c r="AA63" i="3"/>
  <c r="AB63" i="3"/>
  <c r="AC63" i="3"/>
  <c r="AD63" i="3"/>
  <c r="AE63" i="3"/>
  <c r="AF63" i="3"/>
  <c r="AG63" i="3"/>
  <c r="AH63" i="3"/>
  <c r="AI63" i="3"/>
  <c r="Y64" i="3"/>
  <c r="Z64" i="3"/>
  <c r="AA64" i="3"/>
  <c r="AB64" i="3"/>
  <c r="AC64" i="3"/>
  <c r="AD64" i="3"/>
  <c r="AE64" i="3"/>
  <c r="AF64" i="3"/>
  <c r="AG64" i="3"/>
  <c r="AH64" i="3"/>
  <c r="AI64" i="3"/>
  <c r="Y65" i="3"/>
  <c r="Z65" i="3"/>
  <c r="AA65" i="3"/>
  <c r="AB65" i="3"/>
  <c r="AC65" i="3"/>
  <c r="AD65" i="3"/>
  <c r="AE65" i="3"/>
  <c r="AF65" i="3"/>
  <c r="AG65" i="3"/>
  <c r="AH65" i="3"/>
  <c r="AI65" i="3"/>
  <c r="Y66" i="3"/>
  <c r="Z66" i="3"/>
  <c r="AA66" i="3"/>
  <c r="AB66" i="3"/>
  <c r="AC66" i="3"/>
  <c r="AD66" i="3"/>
  <c r="AE66" i="3"/>
  <c r="AF66" i="3"/>
  <c r="AG66" i="3"/>
  <c r="AH66" i="3"/>
  <c r="AI66" i="3"/>
  <c r="Y67" i="3"/>
  <c r="Z67" i="3"/>
  <c r="AA67" i="3"/>
  <c r="AB67" i="3"/>
  <c r="AC67" i="3"/>
  <c r="AD67" i="3"/>
  <c r="AE67" i="3"/>
  <c r="AF67" i="3"/>
  <c r="AG67" i="3"/>
  <c r="AH67" i="3"/>
  <c r="AI67" i="3"/>
  <c r="Y68" i="3"/>
  <c r="Z68" i="3"/>
  <c r="AA68" i="3"/>
  <c r="AB68" i="3"/>
  <c r="AC68" i="3"/>
  <c r="AD68" i="3"/>
  <c r="AE68" i="3"/>
  <c r="AF68" i="3"/>
  <c r="AG68" i="3"/>
  <c r="AH68" i="3"/>
  <c r="AI68" i="3"/>
  <c r="Y69" i="3"/>
  <c r="Z69" i="3"/>
  <c r="AA69" i="3"/>
  <c r="AB69" i="3"/>
  <c r="AC69" i="3"/>
  <c r="AD69" i="3"/>
  <c r="AE69" i="3"/>
  <c r="AF69" i="3"/>
  <c r="AG69" i="3"/>
  <c r="AH69" i="3"/>
  <c r="AI69" i="3"/>
  <c r="Y70" i="3"/>
  <c r="Z70" i="3"/>
  <c r="AA70" i="3"/>
  <c r="AB70" i="3"/>
  <c r="AC70" i="3"/>
  <c r="AD70" i="3"/>
  <c r="AE70" i="3"/>
  <c r="AF70" i="3"/>
  <c r="AG70" i="3"/>
  <c r="AH70" i="3"/>
  <c r="AI70" i="3"/>
  <c r="Y71" i="3"/>
  <c r="Z71" i="3"/>
  <c r="AA71" i="3"/>
  <c r="AB71" i="3"/>
  <c r="AC71" i="3"/>
  <c r="AD71" i="3"/>
  <c r="AE71" i="3"/>
  <c r="AF71" i="3"/>
  <c r="AG71" i="3"/>
  <c r="AH71" i="3"/>
  <c r="AI71" i="3"/>
  <c r="Y72" i="3"/>
  <c r="Z72" i="3"/>
  <c r="AA72" i="3"/>
  <c r="AB72" i="3"/>
  <c r="AC72" i="3"/>
  <c r="AD72" i="3"/>
  <c r="AE72" i="3"/>
  <c r="AF72" i="3"/>
  <c r="AG72" i="3"/>
  <c r="AH72" i="3"/>
  <c r="AI72" i="3"/>
  <c r="Y73" i="3"/>
  <c r="Z73" i="3"/>
  <c r="AA73" i="3"/>
  <c r="AB73" i="3"/>
  <c r="AC73" i="3"/>
  <c r="AD73" i="3"/>
  <c r="AE73" i="3"/>
  <c r="AF73" i="3"/>
  <c r="AG73" i="3"/>
  <c r="AH73" i="3"/>
  <c r="AI73" i="3"/>
  <c r="Y74" i="3"/>
  <c r="Z74" i="3"/>
  <c r="AA74" i="3"/>
  <c r="AB74" i="3"/>
  <c r="AC74" i="3"/>
  <c r="AD74" i="3"/>
  <c r="AE74" i="3"/>
  <c r="AF74" i="3"/>
  <c r="AG74" i="3"/>
  <c r="AH74" i="3"/>
  <c r="AI74" i="3"/>
  <c r="Y75" i="3"/>
  <c r="Z75" i="3"/>
  <c r="AA75" i="3"/>
  <c r="AB75" i="3"/>
  <c r="AC75" i="3"/>
  <c r="AD75" i="3"/>
  <c r="AE75" i="3"/>
  <c r="AF75" i="3"/>
  <c r="AG75" i="3"/>
  <c r="AH75" i="3"/>
  <c r="AI75" i="3"/>
  <c r="Y76" i="3"/>
  <c r="Z76" i="3"/>
  <c r="AA76" i="3"/>
  <c r="AB76" i="3"/>
  <c r="AC76" i="3"/>
  <c r="AD76" i="3"/>
  <c r="AE76" i="3"/>
  <c r="AF76" i="3"/>
  <c r="AG76" i="3"/>
  <c r="AH76" i="3"/>
  <c r="AI76" i="3"/>
  <c r="Y77" i="3"/>
  <c r="Z77" i="3"/>
  <c r="AA77" i="3"/>
  <c r="AB77" i="3"/>
  <c r="AC77" i="3"/>
  <c r="AD77" i="3"/>
  <c r="AE77" i="3"/>
  <c r="AF77" i="3"/>
  <c r="AG77" i="3"/>
  <c r="AH77" i="3"/>
  <c r="AI77" i="3"/>
  <c r="Y78" i="3"/>
  <c r="Z78" i="3"/>
  <c r="AA78" i="3"/>
  <c r="AB78" i="3"/>
  <c r="AC78" i="3"/>
  <c r="AD78" i="3"/>
  <c r="AE78" i="3"/>
  <c r="AF78" i="3"/>
  <c r="AG78" i="3"/>
  <c r="AH78" i="3"/>
  <c r="AI78" i="3"/>
  <c r="U63" i="3"/>
  <c r="V63" i="3"/>
  <c r="W63" i="3"/>
  <c r="X63" i="3"/>
  <c r="U64" i="3"/>
  <c r="V64" i="3"/>
  <c r="W64" i="3"/>
  <c r="X64" i="3"/>
  <c r="U65" i="3"/>
  <c r="V65" i="3"/>
  <c r="W65" i="3"/>
  <c r="X65" i="3"/>
  <c r="U66" i="3"/>
  <c r="V66" i="3"/>
  <c r="W66" i="3"/>
  <c r="X66" i="3"/>
  <c r="U67" i="3"/>
  <c r="V67" i="3"/>
  <c r="W67" i="3"/>
  <c r="X67" i="3"/>
  <c r="U68" i="3"/>
  <c r="V68" i="3"/>
  <c r="W68" i="3"/>
  <c r="X68" i="3"/>
  <c r="U69" i="3"/>
  <c r="V69" i="3"/>
  <c r="W69" i="3"/>
  <c r="X69" i="3"/>
  <c r="U70" i="3"/>
  <c r="V70" i="3"/>
  <c r="W70" i="3"/>
  <c r="X70" i="3"/>
  <c r="U71" i="3"/>
  <c r="V71" i="3"/>
  <c r="W71" i="3"/>
  <c r="X71" i="3"/>
  <c r="U72" i="3"/>
  <c r="V72" i="3"/>
  <c r="W72" i="3"/>
  <c r="X72" i="3"/>
  <c r="U73" i="3"/>
  <c r="V73" i="3"/>
  <c r="W73" i="3"/>
  <c r="X73" i="3"/>
  <c r="U74" i="3"/>
  <c r="V74" i="3"/>
  <c r="W74" i="3"/>
  <c r="X74" i="3"/>
  <c r="U75" i="3"/>
  <c r="V75" i="3"/>
  <c r="W75" i="3"/>
  <c r="X75" i="3"/>
  <c r="U76" i="3"/>
  <c r="V76" i="3"/>
  <c r="W76" i="3"/>
  <c r="X76" i="3"/>
  <c r="U77" i="3"/>
  <c r="V77" i="3"/>
  <c r="W77" i="3"/>
  <c r="X77" i="3"/>
  <c r="U78" i="3"/>
  <c r="V78" i="3"/>
  <c r="W78" i="3"/>
  <c r="X78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C63" i="3"/>
  <c r="D63" i="3"/>
  <c r="E63" i="3"/>
  <c r="F63" i="3"/>
  <c r="G63" i="3"/>
  <c r="H63" i="3"/>
  <c r="I63" i="3"/>
  <c r="J63" i="3"/>
  <c r="K63" i="3"/>
  <c r="L63" i="3"/>
  <c r="M63" i="3"/>
  <c r="N63" i="3"/>
  <c r="O63" i="3"/>
  <c r="P63" i="3"/>
  <c r="Q63" i="3"/>
  <c r="C64" i="3"/>
  <c r="D64" i="3"/>
  <c r="E64" i="3"/>
  <c r="F64" i="3"/>
  <c r="G64" i="3"/>
  <c r="H64" i="3"/>
  <c r="I64" i="3"/>
  <c r="J64" i="3"/>
  <c r="K64" i="3"/>
  <c r="L64" i="3"/>
  <c r="M64" i="3"/>
  <c r="N64" i="3"/>
  <c r="O64" i="3"/>
  <c r="P64" i="3"/>
  <c r="Q64" i="3"/>
  <c r="C65" i="3"/>
  <c r="D65" i="3"/>
  <c r="E65" i="3"/>
  <c r="F65" i="3"/>
  <c r="G65" i="3"/>
  <c r="H65" i="3"/>
  <c r="I65" i="3"/>
  <c r="J65" i="3"/>
  <c r="K65" i="3"/>
  <c r="L65" i="3"/>
  <c r="M65" i="3"/>
  <c r="N65" i="3"/>
  <c r="O65" i="3"/>
  <c r="P65" i="3"/>
  <c r="Q65" i="3"/>
  <c r="C66" i="3"/>
  <c r="D66" i="3"/>
  <c r="E66" i="3"/>
  <c r="F66" i="3"/>
  <c r="H66" i="3"/>
  <c r="I66" i="3"/>
  <c r="J66" i="3"/>
  <c r="K66" i="3"/>
  <c r="L66" i="3"/>
  <c r="M66" i="3"/>
  <c r="N66" i="3"/>
  <c r="O66" i="3"/>
  <c r="P66" i="3"/>
  <c r="Q66" i="3"/>
  <c r="C67" i="3"/>
  <c r="D67" i="3"/>
  <c r="E67" i="3"/>
  <c r="F67" i="3"/>
  <c r="G67" i="3"/>
  <c r="H67" i="3"/>
  <c r="I67" i="3"/>
  <c r="J67" i="3"/>
  <c r="K67" i="3"/>
  <c r="L67" i="3"/>
  <c r="M67" i="3"/>
  <c r="N67" i="3"/>
  <c r="O67" i="3"/>
  <c r="P67" i="3"/>
  <c r="Q67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C69" i="3"/>
  <c r="D69" i="3"/>
  <c r="E69" i="3"/>
  <c r="F69" i="3"/>
  <c r="G69" i="3"/>
  <c r="H69" i="3"/>
  <c r="I69" i="3"/>
  <c r="J69" i="3"/>
  <c r="K69" i="3"/>
  <c r="L69" i="3"/>
  <c r="M69" i="3"/>
  <c r="N69" i="3"/>
  <c r="O69" i="3"/>
  <c r="P69" i="3"/>
  <c r="Q69" i="3"/>
  <c r="C70" i="3"/>
  <c r="D70" i="3"/>
  <c r="E70" i="3"/>
  <c r="F70" i="3"/>
  <c r="G70" i="3"/>
  <c r="H70" i="3"/>
  <c r="I70" i="3"/>
  <c r="J70" i="3"/>
  <c r="K70" i="3"/>
  <c r="L70" i="3"/>
  <c r="M70" i="3"/>
  <c r="N70" i="3"/>
  <c r="O70" i="3"/>
  <c r="P70" i="3"/>
  <c r="Q70" i="3"/>
  <c r="C71" i="3"/>
  <c r="D71" i="3"/>
  <c r="E71" i="3"/>
  <c r="F71" i="3"/>
  <c r="G71" i="3"/>
  <c r="H71" i="3"/>
  <c r="I71" i="3"/>
  <c r="J71" i="3"/>
  <c r="K71" i="3"/>
  <c r="M71" i="3"/>
  <c r="N71" i="3"/>
  <c r="O71" i="3"/>
  <c r="P71" i="3"/>
  <c r="Q71" i="3"/>
  <c r="C72" i="3"/>
  <c r="D72" i="3"/>
  <c r="E72" i="3"/>
  <c r="F72" i="3"/>
  <c r="G72" i="3"/>
  <c r="H72" i="3"/>
  <c r="I72" i="3"/>
  <c r="J72" i="3"/>
  <c r="K72" i="3"/>
  <c r="L72" i="3"/>
  <c r="M72" i="3"/>
  <c r="N72" i="3"/>
  <c r="O72" i="3"/>
  <c r="P72" i="3"/>
  <c r="Q72" i="3"/>
  <c r="C73" i="3"/>
  <c r="D73" i="3"/>
  <c r="E73" i="3"/>
  <c r="F73" i="3"/>
  <c r="G73" i="3"/>
  <c r="H73" i="3"/>
  <c r="I73" i="3"/>
  <c r="J73" i="3"/>
  <c r="K73" i="3"/>
  <c r="L73" i="3"/>
  <c r="M73" i="3"/>
  <c r="N73" i="3"/>
  <c r="O73" i="3"/>
  <c r="P73" i="3"/>
  <c r="Q73" i="3"/>
  <c r="C74" i="3"/>
  <c r="D74" i="3"/>
  <c r="E74" i="3"/>
  <c r="F74" i="3"/>
  <c r="G74" i="3"/>
  <c r="H74" i="3"/>
  <c r="I74" i="3"/>
  <c r="J74" i="3"/>
  <c r="K74" i="3"/>
  <c r="L74" i="3"/>
  <c r="M74" i="3"/>
  <c r="N74" i="3"/>
  <c r="O74" i="3"/>
  <c r="P74" i="3"/>
  <c r="Q74" i="3"/>
  <c r="C75" i="3"/>
  <c r="D75" i="3"/>
  <c r="E75" i="3"/>
  <c r="F75" i="3"/>
  <c r="G75" i="3"/>
  <c r="H75" i="3"/>
  <c r="I75" i="3"/>
  <c r="J75" i="3"/>
  <c r="K75" i="3"/>
  <c r="L75" i="3"/>
  <c r="M75" i="3"/>
  <c r="N75" i="3"/>
  <c r="O75" i="3"/>
  <c r="P75" i="3"/>
  <c r="Q75" i="3"/>
  <c r="C76" i="3"/>
  <c r="D76" i="3"/>
  <c r="E76" i="3"/>
  <c r="F76" i="3"/>
  <c r="G76" i="3"/>
  <c r="H76" i="3"/>
  <c r="I76" i="3"/>
  <c r="J76" i="3"/>
  <c r="K76" i="3"/>
  <c r="L76" i="3"/>
  <c r="M76" i="3"/>
  <c r="N76" i="3"/>
  <c r="O76" i="3"/>
  <c r="P76" i="3"/>
  <c r="Q76" i="3"/>
  <c r="C77" i="3"/>
  <c r="D77" i="3"/>
  <c r="E77" i="3"/>
  <c r="F77" i="3"/>
  <c r="G77" i="3"/>
  <c r="H77" i="3"/>
  <c r="I77" i="3"/>
  <c r="J77" i="3"/>
  <c r="K77" i="3"/>
  <c r="L77" i="3"/>
  <c r="M77" i="3"/>
  <c r="N77" i="3"/>
  <c r="O77" i="3"/>
  <c r="P77" i="3"/>
  <c r="Q77" i="3"/>
  <c r="C78" i="3"/>
  <c r="D78" i="3"/>
  <c r="E78" i="3"/>
  <c r="F78" i="3"/>
  <c r="G78" i="3"/>
  <c r="H78" i="3"/>
  <c r="I78" i="3"/>
  <c r="J78" i="3"/>
  <c r="K78" i="3"/>
  <c r="L78" i="3"/>
  <c r="M78" i="3"/>
  <c r="N78" i="3"/>
  <c r="O78" i="3"/>
  <c r="P78" i="3"/>
  <c r="Q78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63" i="3"/>
  <c r="J41" i="3"/>
  <c r="T44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C41" i="3"/>
  <c r="D41" i="3"/>
  <c r="E41" i="3"/>
  <c r="F41" i="3"/>
  <c r="G41" i="3"/>
  <c r="H41" i="3"/>
  <c r="I41" i="3"/>
  <c r="K41" i="3"/>
  <c r="L41" i="3"/>
  <c r="M41" i="3"/>
  <c r="N41" i="3"/>
  <c r="O41" i="3"/>
  <c r="P41" i="3"/>
  <c r="Q41" i="3"/>
  <c r="C42" i="3"/>
  <c r="D42" i="3"/>
  <c r="E42" i="3"/>
  <c r="F42" i="3"/>
  <c r="G42" i="3"/>
  <c r="H42" i="3"/>
  <c r="I42" i="3"/>
  <c r="J42" i="3"/>
  <c r="K42" i="3"/>
  <c r="L42" i="3"/>
  <c r="M42" i="3"/>
  <c r="N42" i="3"/>
  <c r="O42" i="3"/>
  <c r="P42" i="3"/>
  <c r="Q42" i="3"/>
  <c r="C43" i="3"/>
  <c r="D43" i="3"/>
  <c r="E43" i="3"/>
  <c r="F43" i="3"/>
  <c r="G43" i="3"/>
  <c r="H43" i="3"/>
  <c r="I43" i="3"/>
  <c r="J43" i="3"/>
  <c r="K43" i="3"/>
  <c r="L43" i="3"/>
  <c r="M43" i="3"/>
  <c r="N43" i="3"/>
  <c r="O43" i="3"/>
  <c r="P43" i="3"/>
  <c r="Q43" i="3"/>
  <c r="C44" i="3"/>
  <c r="D44" i="3"/>
  <c r="E44" i="3"/>
  <c r="F44" i="3"/>
  <c r="G44" i="3"/>
  <c r="H44" i="3"/>
  <c r="I44" i="3"/>
  <c r="J44" i="3"/>
  <c r="K44" i="3"/>
  <c r="L44" i="3"/>
  <c r="M44" i="3"/>
  <c r="N44" i="3"/>
  <c r="O44" i="3"/>
  <c r="P44" i="3"/>
  <c r="Q44" i="3"/>
  <c r="C45" i="3"/>
  <c r="D45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C46" i="3"/>
  <c r="D46" i="3"/>
  <c r="E46" i="3"/>
  <c r="F46" i="3"/>
  <c r="G46" i="3"/>
  <c r="H46" i="3"/>
  <c r="I46" i="3"/>
  <c r="J46" i="3"/>
  <c r="K46" i="3"/>
  <c r="L46" i="3"/>
  <c r="M46" i="3"/>
  <c r="N46" i="3"/>
  <c r="O46" i="3"/>
  <c r="P46" i="3"/>
  <c r="Q46" i="3"/>
  <c r="C47" i="3"/>
  <c r="D47" i="3"/>
  <c r="E47" i="3"/>
  <c r="F47" i="3"/>
  <c r="G47" i="3"/>
  <c r="H47" i="3"/>
  <c r="I47" i="3"/>
  <c r="J47" i="3"/>
  <c r="L47" i="3"/>
  <c r="M47" i="3"/>
  <c r="N47" i="3"/>
  <c r="O47" i="3"/>
  <c r="P47" i="3"/>
  <c r="Q47" i="3"/>
  <c r="C48" i="3"/>
  <c r="D48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C49" i="3"/>
  <c r="D49" i="3"/>
  <c r="E49" i="3"/>
  <c r="F49" i="3"/>
  <c r="G49" i="3"/>
  <c r="H49" i="3"/>
  <c r="I49" i="3"/>
  <c r="J49" i="3"/>
  <c r="K49" i="3"/>
  <c r="L49" i="3"/>
  <c r="M49" i="3"/>
  <c r="N49" i="3"/>
  <c r="O49" i="3"/>
  <c r="P49" i="3"/>
  <c r="Q49" i="3"/>
  <c r="C50" i="3"/>
  <c r="D50" i="3"/>
  <c r="E50" i="3"/>
  <c r="F50" i="3"/>
  <c r="G50" i="3"/>
  <c r="H50" i="3"/>
  <c r="I50" i="3"/>
  <c r="J50" i="3"/>
  <c r="K50" i="3"/>
  <c r="L50" i="3"/>
  <c r="M50" i="3"/>
  <c r="N50" i="3"/>
  <c r="O50" i="3"/>
  <c r="P50" i="3"/>
  <c r="Q50" i="3"/>
  <c r="C51" i="3"/>
  <c r="D51" i="3"/>
  <c r="E51" i="3"/>
  <c r="F51" i="3"/>
  <c r="G51" i="3"/>
  <c r="H51" i="3"/>
  <c r="I51" i="3"/>
  <c r="J51" i="3"/>
  <c r="K51" i="3"/>
  <c r="L51" i="3"/>
  <c r="M51" i="3"/>
  <c r="N51" i="3"/>
  <c r="O51" i="3"/>
  <c r="P51" i="3"/>
  <c r="Q51" i="3"/>
  <c r="C52" i="3"/>
  <c r="D52" i="3"/>
  <c r="E52" i="3"/>
  <c r="F52" i="3"/>
  <c r="G52" i="3"/>
  <c r="H52" i="3"/>
  <c r="I52" i="3"/>
  <c r="J52" i="3"/>
  <c r="K52" i="3"/>
  <c r="L52" i="3"/>
  <c r="M52" i="3"/>
  <c r="N52" i="3"/>
  <c r="O52" i="3"/>
  <c r="P52" i="3"/>
  <c r="Q52" i="3"/>
  <c r="C53" i="3"/>
  <c r="D53" i="3"/>
  <c r="E53" i="3"/>
  <c r="F53" i="3"/>
  <c r="G53" i="3"/>
  <c r="H53" i="3"/>
  <c r="I53" i="3"/>
  <c r="J53" i="3"/>
  <c r="K53" i="3"/>
  <c r="L53" i="3"/>
  <c r="M53" i="3"/>
  <c r="N53" i="3"/>
  <c r="O53" i="3"/>
  <c r="P53" i="3"/>
  <c r="Q53" i="3"/>
  <c r="C54" i="3"/>
  <c r="D54" i="3"/>
  <c r="E54" i="3"/>
  <c r="F54" i="3"/>
  <c r="G54" i="3"/>
  <c r="H54" i="3"/>
  <c r="I54" i="3"/>
  <c r="J54" i="3"/>
  <c r="K54" i="3"/>
  <c r="L54" i="3"/>
  <c r="M54" i="3"/>
  <c r="N54" i="3"/>
  <c r="O54" i="3"/>
  <c r="P54" i="3"/>
  <c r="Q54" i="3"/>
  <c r="C55" i="3"/>
  <c r="D55" i="3"/>
  <c r="E55" i="3"/>
  <c r="F55" i="3"/>
  <c r="G55" i="3"/>
  <c r="H55" i="3"/>
  <c r="I55" i="3"/>
  <c r="J55" i="3"/>
  <c r="K55" i="3"/>
  <c r="L55" i="3"/>
  <c r="M55" i="3"/>
  <c r="N55" i="3"/>
  <c r="O55" i="3"/>
  <c r="P55" i="3"/>
  <c r="Q55" i="3"/>
  <c r="C56" i="3"/>
  <c r="D56" i="3"/>
  <c r="E56" i="3"/>
  <c r="F56" i="3"/>
  <c r="G56" i="3"/>
  <c r="H56" i="3"/>
  <c r="I56" i="3"/>
  <c r="J56" i="3"/>
  <c r="K56" i="3"/>
  <c r="L56" i="3"/>
  <c r="M56" i="3"/>
  <c r="N56" i="3"/>
  <c r="O56" i="3"/>
  <c r="P56" i="3"/>
  <c r="Q56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41" i="3"/>
  <c r="G18" i="2"/>
  <c r="J81" i="3" l="1" a="1"/>
  <c r="J81" i="3" s="1"/>
  <c r="T59" i="3"/>
  <c r="B59" i="3"/>
  <c r="AB81" i="3" a="1"/>
  <c r="AB81" i="3" s="1"/>
  <c r="X81" i="3"/>
  <c r="D81" i="3"/>
  <c r="B81" i="3"/>
  <c r="F81" i="3"/>
  <c r="H81" i="3"/>
  <c r="L81" i="3" a="1"/>
  <c r="L81" i="3" s="1"/>
  <c r="V59" i="3"/>
  <c r="X59" i="3"/>
  <c r="Z59" i="3"/>
  <c r="AD59" i="3" a="1"/>
  <c r="AD59" i="3" s="1"/>
  <c r="AB59" i="3" a="1"/>
  <c r="AB59" i="3" s="1"/>
  <c r="AD81" i="3" a="1"/>
  <c r="AD81" i="3" s="1"/>
  <c r="D59" i="3"/>
  <c r="T81" i="3"/>
  <c r="V81" i="3"/>
  <c r="Z81" i="3"/>
  <c r="F59" i="3"/>
  <c r="J59" i="3" a="1"/>
  <c r="J59" i="3" s="1"/>
  <c r="H59" i="3"/>
  <c r="L59" i="3" a="1"/>
  <c r="L59" i="3" s="1"/>
  <c r="H21" i="1"/>
  <c r="H22" i="1" a="1"/>
  <c r="H22" i="1" s="1"/>
  <c r="G20" i="1"/>
  <c r="H20" i="1"/>
  <c r="G22" i="1" a="1"/>
  <c r="G22" i="1" s="1"/>
  <c r="J22" i="1" a="1"/>
  <c r="J22" i="1" s="1"/>
  <c r="J21" i="1"/>
  <c r="I20" i="1"/>
  <c r="I23" i="1" a="1"/>
  <c r="I23" i="1" s="1"/>
  <c r="I22" i="1" a="1"/>
  <c r="I22" i="1" s="1"/>
  <c r="I21" i="1"/>
  <c r="G23" i="1" a="1"/>
  <c r="G23" i="1" s="1"/>
  <c r="I90" i="4"/>
  <c r="J90" i="4"/>
  <c r="K90" i="4"/>
  <c r="L90" i="4"/>
  <c r="M90" i="4"/>
  <c r="A90" i="4"/>
  <c r="C90" i="4"/>
  <c r="D90" i="4"/>
  <c r="A67" i="4"/>
  <c r="C67" i="4"/>
  <c r="D67" i="4"/>
  <c r="E67" i="4"/>
  <c r="G67" i="4" a="1"/>
  <c r="G67" i="4" s="1"/>
  <c r="G21" i="2"/>
  <c r="I21" i="2"/>
  <c r="G20" i="2"/>
  <c r="H20" i="2"/>
  <c r="I20" i="2"/>
  <c r="H23" i="2" a="1"/>
  <c r="H23" i="2" s="1"/>
  <c r="J20" i="2"/>
  <c r="J23" i="2" a="1"/>
  <c r="J2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<sst xmlns="http://schemas.openxmlformats.org/spreadsheetml/2006/main" count="1068" uniqueCount="95">
  <si>
    <t>ID</t>
  </si>
  <si>
    <t>Missing (0.02)</t>
  </si>
  <si>
    <t>Missing (0.002)</t>
  </si>
  <si>
    <t>No Missing (0.02)</t>
  </si>
  <si>
    <t>No Missing (0.002)</t>
  </si>
  <si>
    <t>ABF1</t>
  </si>
  <si>
    <t>ACE2</t>
  </si>
  <si>
    <t>AFT2</t>
  </si>
  <si>
    <t>ASF1</t>
  </si>
  <si>
    <t>ASH1</t>
  </si>
  <si>
    <t>CIN5</t>
  </si>
  <si>
    <t>GCN4</t>
  </si>
  <si>
    <t>GLN3</t>
  </si>
  <si>
    <t>HAP4</t>
  </si>
  <si>
    <t>HMO1</t>
  </si>
  <si>
    <t>MSN2</t>
  </si>
  <si>
    <t>SFP1</t>
  </si>
  <si>
    <t>SWI4</t>
  </si>
  <si>
    <t>YHP1</t>
  </si>
  <si>
    <t>YOX1</t>
  </si>
  <si>
    <t>ZAP1</t>
  </si>
  <si>
    <t>Outputs</t>
  </si>
  <si>
    <t>Missing (0.02) - missing (0.002)</t>
  </si>
  <si>
    <t>No Missing (0.02) - no missing (0.002)</t>
  </si>
  <si>
    <t>Difference between missing and no missing</t>
  </si>
  <si>
    <t>Missing (0.02) - no missing (0.02)</t>
  </si>
  <si>
    <t>Missing (0.002) - no missing (0.002)</t>
  </si>
  <si>
    <t>Summary Stats</t>
  </si>
  <si>
    <t>Mean:</t>
  </si>
  <si>
    <t>Median:</t>
  </si>
  <si>
    <t>Min (abs):</t>
  </si>
  <si>
    <t>Max (abs):</t>
  </si>
  <si>
    <t>cols regulators/rows targets</t>
  </si>
  <si>
    <t>Output from Missing Values (alpha 0.002)</t>
  </si>
  <si>
    <t>Output from Missing Values (alpha 0.02)</t>
  </si>
  <si>
    <t>Output from No Missing Values (alpha (0.02)</t>
  </si>
  <si>
    <t>Output for No Missing Values (alpha 0.002)</t>
  </si>
  <si>
    <t>Difference for alpha 0.02 (no missing values - missing values)</t>
  </si>
  <si>
    <t>Difference for alpha 0.002 (no missing values - missing values)</t>
  </si>
  <si>
    <t>Mean</t>
  </si>
  <si>
    <t>Median</t>
  </si>
  <si>
    <t>Min (abs)</t>
  </si>
  <si>
    <t>Max (abs)</t>
  </si>
  <si>
    <t xml:space="preserve">Min </t>
  </si>
  <si>
    <t xml:space="preserve">Max </t>
  </si>
  <si>
    <t>Parameter Values</t>
  </si>
  <si>
    <t>LSE</t>
  </si>
  <si>
    <t>Penalty</t>
  </si>
  <si>
    <t>min LSE</t>
  </si>
  <si>
    <t>iteration count</t>
  </si>
  <si>
    <t>Gene</t>
  </si>
  <si>
    <t>wt MSE</t>
  </si>
  <si>
    <t>dcin5 MSE</t>
  </si>
  <si>
    <t>dgln3 MSE</t>
  </si>
  <si>
    <t>dhap4 MSE</t>
  </si>
  <si>
    <t>dhmo1 MSE</t>
  </si>
  <si>
    <t>dzap1 MSE</t>
  </si>
  <si>
    <t>Missing (0.02) Output</t>
  </si>
  <si>
    <t>Missing (0.002) Output</t>
  </si>
  <si>
    <t>No Missing (0.02) Output</t>
  </si>
  <si>
    <t>No Missing (0.002) Output</t>
  </si>
  <si>
    <t>Standard Dev</t>
  </si>
  <si>
    <t xml:space="preserve"> </t>
  </si>
  <si>
    <t>Difference between alpha values (abs value)</t>
  </si>
  <si>
    <t>Difference between missing and no missing (abs value)</t>
  </si>
  <si>
    <t>**pretty similar**</t>
  </si>
  <si>
    <t>Difference between alpha values (abs)</t>
  </si>
  <si>
    <t>Difference for values with different alpha no missing (0.002 - 0.02)</t>
  </si>
  <si>
    <t>Difference for values with different alpha missing (0.002 - 0.02)</t>
  </si>
  <si>
    <t>Difference for values with different alpha  missing (0.002 - 0.02)</t>
  </si>
  <si>
    <r>
      <t>LSE (</t>
    </r>
    <r>
      <rPr>
        <sz val="11"/>
        <color theme="1"/>
        <rFont val="Aptos Narrow"/>
        <family val="2"/>
      </rPr>
      <t>α</t>
    </r>
    <r>
      <rPr>
        <sz val="9.6999999999999993"/>
        <color theme="1"/>
        <rFont val="Calibri"/>
        <family val="2"/>
      </rPr>
      <t xml:space="preserve"> = 0.002)</t>
    </r>
  </si>
  <si>
    <r>
      <t>LSE (</t>
    </r>
    <r>
      <rPr>
        <sz val="11"/>
        <color theme="1"/>
        <rFont val="Aptos Narrow"/>
        <family val="2"/>
      </rPr>
      <t>α</t>
    </r>
    <r>
      <rPr>
        <sz val="9.6999999999999993"/>
        <color theme="1"/>
        <rFont val="Calibri"/>
        <family val="2"/>
      </rPr>
      <t xml:space="preserve"> = 0.02)</t>
    </r>
  </si>
  <si>
    <t>GCR2</t>
  </si>
  <si>
    <t>STB5</t>
  </si>
  <si>
    <t>SW15</t>
  </si>
  <si>
    <t>Regulator</t>
  </si>
  <si>
    <t>Target</t>
  </si>
  <si>
    <t>weights</t>
  </si>
  <si>
    <t>w when α value = 0.002 (missing)</t>
  </si>
  <si>
    <t>w when α value = 0.002 (no missing)</t>
  </si>
  <si>
    <t>w when α value = 0.02 (missing)</t>
  </si>
  <si>
    <t>w when α value = 0.02 (no missing )</t>
  </si>
  <si>
    <t>stdev</t>
  </si>
  <si>
    <t>Absolute difference (missing - no missing) α value = 0.002</t>
  </si>
  <si>
    <t>Absolute difference (missing - no missing) α value = 0.02</t>
  </si>
  <si>
    <t>Rank 0.002</t>
  </si>
  <si>
    <t>Rank 0.02</t>
  </si>
  <si>
    <t>avg</t>
  </si>
  <si>
    <t>sum</t>
  </si>
  <si>
    <t>Alpha 0.02</t>
  </si>
  <si>
    <t>Alpha 0.002</t>
  </si>
  <si>
    <t>rank change</t>
  </si>
  <si>
    <t>average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</si>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</sst>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E+00"/>
    <numFmt numFmtId="172" formatCode="0.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Aptos Narrow"/>
      <family val="2"/>
    </font>
    <font>
      <sz val="9.6999999999999993"/>
      <color theme="1"/>
      <name val="Calibri"/>
      <family val="2"/>
    </font>
    <font>
      <sz val="12"/>
      <color rgb="FF000000"/>
      <name val="Times New Roman"/>
      <family val="1"/>
    </font>
    <font>
      <sz val="11"/>
      <color theme="0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Aptos"/>
      <family val="2"/>
    </font>
    <font>
      <sz val="10"/>
      <color rgb="FF000000"/>
      <name val="Aptos"/>
      <family val="2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7">
    <xf numFmtId="0" fontId="0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2" fillId="0" borderId="1" applyFont="0" applyFill="0" applyAlignment="0" applyProtection="0">
      <alignment horizontal="center"/>
    </xf>
    <xf numFmtId="0" fontId="1" fillId="0" borderId="1"/>
  </cellStyleXfs>
  <cellXfs count="44">
    <xf numFmtId="0" fontId="0" fillId="0" borderId="0" xfId="0"/>
    <xf numFmtId="0" fontId="1" fillId="0" borderId="0" xfId="1" applyFont="1"/>
    <xf numFmtId="0" fontId="4" fillId="0" borderId="0" xfId="0" applyFont="1"/>
    <xf numFmtId="0" fontId="0" fillId="0" borderId="0" xfId="1" applyFont="1"/>
    <xf numFmtId="0" fontId="4" fillId="0" borderId="0" xfId="1" applyFont="1"/>
    <xf numFmtId="0" fontId="2" fillId="0" borderId="0" xfId="1" applyFont="1"/>
    <xf numFmtId="0" fontId="2" fillId="0" borderId="0" xfId="0" applyFont="1"/>
    <xf numFmtId="0" fontId="2" fillId="0" borderId="0" xfId="0" applyFont="1" applyAlignment="1">
      <alignment horizontal="center"/>
    </xf>
    <xf numFmtId="0" fontId="5" fillId="0" borderId="0" xfId="0" applyFont="1"/>
    <xf numFmtId="0" fontId="5" fillId="0" borderId="0" xfId="1" applyFont="1"/>
    <xf numFmtId="0" fontId="0" fillId="0" borderId="1" xfId="5" applyFont="1" applyAlignment="1"/>
    <xf numFmtId="0" fontId="5" fillId="0" borderId="1" xfId="5" applyFont="1" applyAlignment="1"/>
    <xf numFmtId="164" fontId="0" fillId="0" borderId="0" xfId="0" applyNumberFormat="1"/>
    <xf numFmtId="165" fontId="0" fillId="0" borderId="0" xfId="0" applyNumberFormat="1"/>
    <xf numFmtId="164" fontId="1" fillId="0" borderId="1" xfId="5" applyNumberFormat="1" applyFont="1" applyAlignment="1"/>
    <xf numFmtId="164" fontId="1" fillId="0" borderId="0" xfId="1" applyNumberFormat="1" applyFont="1"/>
    <xf numFmtId="1" fontId="0" fillId="0" borderId="0" xfId="0" applyNumberFormat="1"/>
    <xf numFmtId="0" fontId="8" fillId="0" borderId="2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164" fontId="8" fillId="0" borderId="3" xfId="0" applyNumberFormat="1" applyFont="1" applyBorder="1" applyAlignment="1">
      <alignment vertical="center" wrapText="1"/>
    </xf>
    <xf numFmtId="164" fontId="8" fillId="0" borderId="5" xfId="0" applyNumberFormat="1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1" xfId="5" applyFont="1" applyAlignment="1">
      <alignment horizontal="center"/>
    </xf>
    <xf numFmtId="0" fontId="0" fillId="0" borderId="1" xfId="5" applyFont="1" applyAlignment="1">
      <alignment horizontal="center"/>
    </xf>
    <xf numFmtId="0" fontId="10" fillId="0" borderId="2" xfId="0" applyFont="1" applyBorder="1" applyAlignment="1">
      <alignment vertical="center" wrapText="1"/>
    </xf>
    <xf numFmtId="0" fontId="10" fillId="0" borderId="3" xfId="0" applyFont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0" fillId="0" borderId="6" xfId="0" applyFont="1" applyFill="1" applyBorder="1" applyAlignment="1">
      <alignment vertical="center" wrapText="1"/>
    </xf>
    <xf numFmtId="0" fontId="10" fillId="0" borderId="7" xfId="0" applyFont="1" applyFill="1" applyBorder="1" applyAlignment="1">
      <alignment vertical="center" wrapText="1"/>
    </xf>
    <xf numFmtId="172" fontId="12" fillId="0" borderId="0" xfId="0" applyNumberFormat="1" applyFont="1" applyAlignment="1">
      <alignment vertical="center"/>
    </xf>
    <xf numFmtId="172" fontId="0" fillId="0" borderId="0" xfId="0" applyNumberFormat="1"/>
    <xf numFmtId="172" fontId="11" fillId="0" borderId="0" xfId="0" applyNumberFormat="1" applyFont="1" applyAlignment="1">
      <alignment vertical="center"/>
    </xf>
    <xf numFmtId="172" fontId="13" fillId="0" borderId="0" xfId="0" applyNumberFormat="1" applyFont="1"/>
    <xf numFmtId="0" fontId="10" fillId="0" borderId="0" xfId="0" applyFont="1" applyFill="1" applyBorder="1" applyAlignment="1">
      <alignment vertical="center" wrapText="1"/>
    </xf>
    <xf numFmtId="0" fontId="10" fillId="0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0" borderId="5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4" fillId="0" borderId="0" xfId="0" applyFont="1"/>
    <xf numFmtId="0" fontId="8" fillId="0" borderId="3" xfId="0" applyFont="1" applyBorder="1" applyAlignment="1">
      <alignment vertical="center" wrapText="1"/>
    </xf>
    <xf numFmtId="172" fontId="9" fillId="0" borderId="0" xfId="0" applyNumberFormat="1" applyFont="1"/>
  </cellXfs>
  <cellStyles count="7">
    <cellStyle name="Normal" xfId="0" builtinId="0"/>
    <cellStyle name="Normal 2" xfId="2" xr:uid="{0D53CD1F-55E7-4A4C-92CF-627DA013722D}"/>
    <cellStyle name="Normal 3" xfId="3" xr:uid="{D911F80F-46A0-4717-A1F1-E88F851227FC}"/>
    <cellStyle name="Normal 4" xfId="4" xr:uid="{53AF9BA8-A272-47A6-9DA0-A77352B7457E}"/>
    <cellStyle name="Normal 5" xfId="1" xr:uid="{3A26F813-6178-4E1C-8A63-2F0F52AA5111}"/>
    <cellStyle name="Style 1" xfId="5" xr:uid="{7CDEEA40-27E0-4184-94FD-D8E5ED089FCC}"/>
    <cellStyle name="Style 2" xfId="6" xr:uid="{FB9DCF63-279D-4CC0-8B9A-D66DB238A7B5}"/>
  </cellStyles>
  <dxfs count="18"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ont>
        <strike val="0"/>
        <color auto="1"/>
      </font>
      <fill>
        <patternFill>
          <bgColor theme="8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B561B-8B5C-4FF2-8EA3-3372AD5C13CE}">
  <dimension ref="A1:J76"/>
  <sheetViews>
    <sheetView topLeftCell="A49" zoomScale="140" workbookViewId="0">
      <selection activeCell="G76" sqref="G76"/>
    </sheetView>
  </sheetViews>
  <sheetFormatPr defaultRowHeight="14.4" x14ac:dyDescent="0.3"/>
  <cols>
    <col min="2" max="2" width="12.109375" bestFit="1" customWidth="1"/>
    <col min="3" max="3" width="13.21875" bestFit="1" customWidth="1"/>
    <col min="4" max="4" width="15.109375" bestFit="1" customWidth="1"/>
    <col min="5" max="5" width="16.109375" bestFit="1" customWidth="1"/>
    <col min="6" max="6" width="12.109375" bestFit="1" customWidth="1"/>
    <col min="7" max="7" width="26.109375" bestFit="1" customWidth="1"/>
    <col min="8" max="8" width="31.6640625" bestFit="1" customWidth="1"/>
    <col min="9" max="9" width="37.88671875" bestFit="1" customWidth="1"/>
    <col min="10" max="10" width="29.77734375" bestFit="1" customWidth="1"/>
  </cols>
  <sheetData>
    <row r="1" spans="1:10" x14ac:dyDescent="0.3">
      <c r="A1" s="24" t="s">
        <v>21</v>
      </c>
      <c r="B1" s="25"/>
      <c r="C1" s="25"/>
      <c r="D1" s="25"/>
      <c r="E1" s="25"/>
      <c r="G1" s="22" t="s">
        <v>63</v>
      </c>
      <c r="H1" s="22"/>
      <c r="I1" s="22" t="s">
        <v>64</v>
      </c>
      <c r="J1" s="22"/>
    </row>
    <row r="2" spans="1:10" x14ac:dyDescent="0.3">
      <c r="A2" s="10" t="s">
        <v>0</v>
      </c>
      <c r="B2" s="10" t="s">
        <v>1</v>
      </c>
      <c r="C2" s="10" t="s">
        <v>2</v>
      </c>
      <c r="D2" s="10" t="s">
        <v>3</v>
      </c>
      <c r="E2" s="10" t="s">
        <v>4</v>
      </c>
      <c r="G2" t="s">
        <v>22</v>
      </c>
      <c r="H2" t="s">
        <v>23</v>
      </c>
      <c r="I2" t="s">
        <v>25</v>
      </c>
      <c r="J2" t="s">
        <v>26</v>
      </c>
    </row>
    <row r="3" spans="1:10" x14ac:dyDescent="0.3">
      <c r="A3" s="10" t="s">
        <v>5</v>
      </c>
      <c r="B3" s="10">
        <v>5.6958440562543157E-2</v>
      </c>
      <c r="C3" s="10">
        <v>5.7592095875525745E-2</v>
      </c>
      <c r="D3" s="10">
        <v>5.6952178817641343E-2</v>
      </c>
      <c r="E3" s="10">
        <v>5.7677676773573452E-2</v>
      </c>
      <c r="G3">
        <f>ABS(B3-C3)</f>
        <v>6.3365531298258809E-4</v>
      </c>
      <c r="H3">
        <f>ABS(D3-E3)</f>
        <v>7.2549795593210981E-4</v>
      </c>
      <c r="I3">
        <f>ABS(B3-D3)</f>
        <v>6.2617449018143034E-6</v>
      </c>
      <c r="J3">
        <f>ABS(C3-E3)</f>
        <v>8.558089804770741E-5</v>
      </c>
    </row>
    <row r="4" spans="1:10" x14ac:dyDescent="0.3">
      <c r="A4" s="10" t="s">
        <v>6</v>
      </c>
      <c r="B4" s="10">
        <v>0.16477621757768376</v>
      </c>
      <c r="C4" s="10">
        <v>0.1336788117708895</v>
      </c>
      <c r="D4" s="10">
        <v>0.16266109889782701</v>
      </c>
      <c r="E4" s="10">
        <v>0.12554697719875568</v>
      </c>
      <c r="G4">
        <f t="shared" ref="G4:G18" si="0">ABS(B4-C4)</f>
        <v>3.1097405806794265E-2</v>
      </c>
      <c r="H4">
        <f>ABS(D4-E4)</f>
        <v>3.7114121699071329E-2</v>
      </c>
      <c r="I4">
        <f t="shared" ref="I4:I18" si="1">ABS(B4-D4)</f>
        <v>2.1151186798567534E-3</v>
      </c>
      <c r="J4">
        <f t="shared" ref="J4:J18" si="2">ABS(C4-E4)</f>
        <v>8.131834572133817E-3</v>
      </c>
    </row>
    <row r="5" spans="1:10" x14ac:dyDescent="0.3">
      <c r="A5" s="10" t="s">
        <v>7</v>
      </c>
      <c r="B5" s="10">
        <v>0.42220899556474106</v>
      </c>
      <c r="C5" s="11">
        <v>0.2900021854913139</v>
      </c>
      <c r="D5" s="10">
        <v>0.41672451131321214</v>
      </c>
      <c r="E5" s="10">
        <v>0.47813787814981179</v>
      </c>
      <c r="G5">
        <f t="shared" si="0"/>
        <v>0.13220681007342716</v>
      </c>
      <c r="H5">
        <f>ABS(D5-E5)</f>
        <v>6.1413366836599648E-2</v>
      </c>
      <c r="I5">
        <f t="shared" si="1"/>
        <v>5.4844842515289205E-3</v>
      </c>
      <c r="J5">
        <f t="shared" si="2"/>
        <v>0.18813569265849789</v>
      </c>
    </row>
    <row r="6" spans="1:10" x14ac:dyDescent="0.3">
      <c r="A6" s="10" t="s">
        <v>8</v>
      </c>
      <c r="B6" s="10">
        <v>0.16590603326853773</v>
      </c>
      <c r="C6" s="10">
        <v>0.15820920628284238</v>
      </c>
      <c r="D6" s="10">
        <v>0.16398137403900861</v>
      </c>
      <c r="E6" s="10">
        <v>0.15827121640304323</v>
      </c>
      <c r="G6">
        <f t="shared" si="0"/>
        <v>7.6968269856953486E-3</v>
      </c>
      <c r="H6">
        <f>ABS(D6-E6)</f>
        <v>5.7101576359653849E-3</v>
      </c>
      <c r="I6">
        <f t="shared" si="1"/>
        <v>1.9246592295291132E-3</v>
      </c>
      <c r="J6">
        <f t="shared" si="2"/>
        <v>6.2010120200850505E-5</v>
      </c>
    </row>
    <row r="7" spans="1:10" x14ac:dyDescent="0.3">
      <c r="A7" s="10" t="s">
        <v>9</v>
      </c>
      <c r="B7" s="10">
        <v>0.93785728026309167</v>
      </c>
      <c r="C7" s="10">
        <v>1.532022808949425</v>
      </c>
      <c r="D7" s="10">
        <v>0.93039481851283534</v>
      </c>
      <c r="E7" s="10">
        <v>1.6211729889021187</v>
      </c>
      <c r="G7">
        <f t="shared" si="0"/>
        <v>0.59416552868633332</v>
      </c>
      <c r="H7">
        <f t="shared" ref="H7:H18" si="3">ABS(D7-E7)</f>
        <v>0.69077817038928335</v>
      </c>
      <c r="I7">
        <f t="shared" si="1"/>
        <v>7.4624617502563328E-3</v>
      </c>
      <c r="J7">
        <f t="shared" si="2"/>
        <v>8.9150179952693698E-2</v>
      </c>
    </row>
    <row r="8" spans="1:10" x14ac:dyDescent="0.3">
      <c r="A8" s="10" t="s">
        <v>10</v>
      </c>
      <c r="B8" s="10">
        <v>0.74991443334942864</v>
      </c>
      <c r="C8" s="10">
        <v>1.1529505035955598</v>
      </c>
      <c r="D8" s="10">
        <v>0.83738393473024431</v>
      </c>
      <c r="E8" s="10">
        <v>1.2399132170705496</v>
      </c>
      <c r="G8">
        <f t="shared" si="0"/>
        <v>0.4030360702461312</v>
      </c>
      <c r="H8">
        <f t="shared" si="3"/>
        <v>0.40252928234030527</v>
      </c>
      <c r="I8">
        <f t="shared" si="1"/>
        <v>8.7469501380815662E-2</v>
      </c>
      <c r="J8">
        <f t="shared" si="2"/>
        <v>8.6962713474989739E-2</v>
      </c>
    </row>
    <row r="9" spans="1:10" x14ac:dyDescent="0.3">
      <c r="A9" s="10" t="s">
        <v>11</v>
      </c>
      <c r="B9" s="10">
        <v>6.7645111876891234E-2</v>
      </c>
      <c r="C9" s="10">
        <v>0.18108914305749688</v>
      </c>
      <c r="D9" s="10">
        <v>6.7370222549363062E-2</v>
      </c>
      <c r="E9" s="10">
        <v>0.1741242682396591</v>
      </c>
      <c r="G9">
        <f t="shared" si="0"/>
        <v>0.11344403118060564</v>
      </c>
      <c r="H9">
        <f t="shared" si="3"/>
        <v>0.10675404569029603</v>
      </c>
      <c r="I9">
        <f t="shared" si="1"/>
        <v>2.7488932752817163E-4</v>
      </c>
      <c r="J9">
        <f t="shared" si="2"/>
        <v>6.9648748178377795E-3</v>
      </c>
    </row>
    <row r="10" spans="1:10" x14ac:dyDescent="0.3">
      <c r="A10" s="10" t="s">
        <v>12</v>
      </c>
      <c r="B10" s="10">
        <v>0.42252327841193715</v>
      </c>
      <c r="C10" s="10">
        <v>0.36015301634947372</v>
      </c>
      <c r="D10" s="10">
        <v>0.42363314112059941</v>
      </c>
      <c r="E10" s="10">
        <v>0.36119400598673662</v>
      </c>
      <c r="G10">
        <f t="shared" si="0"/>
        <v>6.2370262062463433E-2</v>
      </c>
      <c r="H10">
        <f t="shared" si="3"/>
        <v>6.2439135133862789E-2</v>
      </c>
      <c r="I10">
        <f t="shared" si="1"/>
        <v>1.109862708662257E-3</v>
      </c>
      <c r="J10">
        <f t="shared" si="2"/>
        <v>1.0409896372629013E-3</v>
      </c>
    </row>
    <row r="11" spans="1:10" x14ac:dyDescent="0.3">
      <c r="A11" s="10" t="s">
        <v>13</v>
      </c>
      <c r="B11" s="10">
        <v>0.81716390381457393</v>
      </c>
      <c r="C11" s="10">
        <v>2.3414318292371337</v>
      </c>
      <c r="D11" s="10">
        <v>0.82266297629948559</v>
      </c>
      <c r="E11" s="10">
        <v>2.4381037482599419</v>
      </c>
      <c r="G11">
        <f t="shared" si="0"/>
        <v>1.5242679254225597</v>
      </c>
      <c r="H11">
        <f t="shared" si="3"/>
        <v>1.6154407719604564</v>
      </c>
      <c r="I11">
        <f t="shared" si="1"/>
        <v>5.4990724849116601E-3</v>
      </c>
      <c r="J11">
        <f t="shared" si="2"/>
        <v>9.667191902280825E-2</v>
      </c>
    </row>
    <row r="12" spans="1:10" x14ac:dyDescent="0.3">
      <c r="A12" s="10" t="s">
        <v>14</v>
      </c>
      <c r="B12" s="10">
        <v>0.4353572333784213</v>
      </c>
      <c r="C12" s="10">
        <v>0.4828738821766852</v>
      </c>
      <c r="D12" s="10">
        <v>0.42722029424183627</v>
      </c>
      <c r="E12" s="10">
        <v>0.46397364130072971</v>
      </c>
      <c r="G12">
        <f t="shared" si="0"/>
        <v>4.7516648798263894E-2</v>
      </c>
      <c r="H12">
        <f t="shared" si="3"/>
        <v>3.6753347058893437E-2</v>
      </c>
      <c r="I12">
        <f t="shared" si="1"/>
        <v>8.1369391365850308E-3</v>
      </c>
      <c r="J12">
        <f t="shared" si="2"/>
        <v>1.8900240875955487E-2</v>
      </c>
    </row>
    <row r="13" spans="1:10" x14ac:dyDescent="0.3">
      <c r="A13" s="10" t="s">
        <v>15</v>
      </c>
      <c r="B13" s="10">
        <v>0.30310139276677783</v>
      </c>
      <c r="C13" s="11">
        <v>0.57510034874516658</v>
      </c>
      <c r="D13" s="10">
        <v>0.30132723852926691</v>
      </c>
      <c r="E13" s="11">
        <v>1.0591245818718642</v>
      </c>
      <c r="G13">
        <f t="shared" si="0"/>
        <v>0.27199895597838875</v>
      </c>
      <c r="H13">
        <f t="shared" si="3"/>
        <v>0.7577973433425973</v>
      </c>
      <c r="I13">
        <f t="shared" si="1"/>
        <v>1.7741542375109276E-3</v>
      </c>
      <c r="J13">
        <f t="shared" si="2"/>
        <v>0.48402423312669762</v>
      </c>
    </row>
    <row r="14" spans="1:10" x14ac:dyDescent="0.3">
      <c r="A14" s="10" t="s">
        <v>16</v>
      </c>
      <c r="B14" s="10">
        <v>0.79857488309816571</v>
      </c>
      <c r="C14" s="10">
        <v>1.0068101697287688</v>
      </c>
      <c r="D14" s="10">
        <v>0.79888926228003487</v>
      </c>
      <c r="E14" s="10">
        <v>1.0269846197164814</v>
      </c>
      <c r="G14">
        <f t="shared" si="0"/>
        <v>0.20823528663060309</v>
      </c>
      <c r="H14">
        <f t="shared" si="3"/>
        <v>0.22809535743644649</v>
      </c>
      <c r="I14">
        <f t="shared" si="1"/>
        <v>3.1437918186916214E-4</v>
      </c>
      <c r="J14">
        <f t="shared" si="2"/>
        <v>2.0174449987712562E-2</v>
      </c>
    </row>
    <row r="15" spans="1:10" x14ac:dyDescent="0.3">
      <c r="A15" s="10" t="s">
        <v>17</v>
      </c>
      <c r="B15" s="10">
        <v>0.69135095672928715</v>
      </c>
      <c r="C15" s="10">
        <v>0.22797309354263168</v>
      </c>
      <c r="D15" s="10">
        <v>0.67928456045542807</v>
      </c>
      <c r="E15" s="10">
        <v>0.24963434300754492</v>
      </c>
      <c r="G15">
        <f t="shared" si="0"/>
        <v>0.46337786318665547</v>
      </c>
      <c r="H15">
        <f t="shared" si="3"/>
        <v>0.42965021744788312</v>
      </c>
      <c r="I15">
        <f t="shared" si="1"/>
        <v>1.2066396273859081E-2</v>
      </c>
      <c r="J15">
        <f t="shared" si="2"/>
        <v>2.166124946491324E-2</v>
      </c>
    </row>
    <row r="16" spans="1:10" x14ac:dyDescent="0.3">
      <c r="A16" s="10" t="s">
        <v>18</v>
      </c>
      <c r="B16" s="10">
        <v>0.30626861987556281</v>
      </c>
      <c r="C16" s="10">
        <v>0.15127793265476244</v>
      </c>
      <c r="D16" s="10">
        <v>0.30458021842854588</v>
      </c>
      <c r="E16" s="10">
        <v>0.14622487335762419</v>
      </c>
      <c r="G16">
        <f t="shared" si="0"/>
        <v>0.15499068722080037</v>
      </c>
      <c r="H16">
        <f t="shared" si="3"/>
        <v>0.15835534507092169</v>
      </c>
      <c r="I16">
        <f t="shared" si="1"/>
        <v>1.6884014470169295E-3</v>
      </c>
      <c r="J16">
        <f t="shared" si="2"/>
        <v>5.0530592971382571E-3</v>
      </c>
    </row>
    <row r="17" spans="1:10" x14ac:dyDescent="0.3">
      <c r="A17" s="10" t="s">
        <v>19</v>
      </c>
      <c r="B17" s="10">
        <v>0.54859377899802519</v>
      </c>
      <c r="C17" s="10">
        <v>0.78544389632424549</v>
      </c>
      <c r="D17" s="10">
        <v>0.55450017222219883</v>
      </c>
      <c r="E17" s="10">
        <v>0.82834712247623377</v>
      </c>
      <c r="G17">
        <f t="shared" si="0"/>
        <v>0.2368501173262203</v>
      </c>
      <c r="H17">
        <f t="shared" si="3"/>
        <v>0.27384695025403494</v>
      </c>
      <c r="I17">
        <f t="shared" si="1"/>
        <v>5.9063932241736339E-3</v>
      </c>
      <c r="J17">
        <f t="shared" si="2"/>
        <v>4.2903226151988272E-2</v>
      </c>
    </row>
    <row r="18" spans="1:10" x14ac:dyDescent="0.3">
      <c r="A18" s="10" t="s">
        <v>20</v>
      </c>
      <c r="B18" s="10">
        <v>0.12746637485851561</v>
      </c>
      <c r="C18" s="10">
        <v>0.12653447019193792</v>
      </c>
      <c r="D18" s="10">
        <v>0.13210414084254268</v>
      </c>
      <c r="E18" s="10">
        <v>0.13121258121726656</v>
      </c>
      <c r="G18">
        <f t="shared" si="0"/>
        <v>9.3190466657769311E-4</v>
      </c>
      <c r="H18">
        <f t="shared" si="3"/>
        <v>8.9155962527612265E-4</v>
      </c>
      <c r="I18">
        <f t="shared" si="1"/>
        <v>4.6377659840270702E-3</v>
      </c>
      <c r="J18">
        <f t="shared" si="2"/>
        <v>4.6781110253286406E-3</v>
      </c>
    </row>
    <row r="19" spans="1:10" x14ac:dyDescent="0.3">
      <c r="G19" s="22" t="s">
        <v>27</v>
      </c>
      <c r="H19" s="22"/>
      <c r="I19" s="22" t="s">
        <v>27</v>
      </c>
      <c r="J19" s="23"/>
    </row>
    <row r="20" spans="1:10" x14ac:dyDescent="0.3">
      <c r="F20" t="s">
        <v>28</v>
      </c>
      <c r="G20">
        <f>AVERAGE(G3:G18)</f>
        <v>0.26580124872403138</v>
      </c>
      <c r="H20">
        <f t="shared" ref="H20:J20" si="4">AVERAGE(H3:H18)</f>
        <v>0.30426841686736406</v>
      </c>
      <c r="I20">
        <f t="shared" si="4"/>
        <v>9.1169213151895325E-3</v>
      </c>
      <c r="J20">
        <f t="shared" si="4"/>
        <v>6.7162522817762915E-2</v>
      </c>
    </row>
    <row r="21" spans="1:10" x14ac:dyDescent="0.3">
      <c r="F21" t="s">
        <v>29</v>
      </c>
      <c r="G21">
        <f>MEDIAN(G3:G18)</f>
        <v>0.14359874864711375</v>
      </c>
      <c r="H21">
        <f t="shared" ref="H21:J21" si="5">MEDIAN(H3:H18)</f>
        <v>0.13255469538060888</v>
      </c>
      <c r="I21">
        <f t="shared" si="5"/>
        <v>3.3764423319419118E-3</v>
      </c>
      <c r="J21">
        <f t="shared" si="5"/>
        <v>1.9537345431834025E-2</v>
      </c>
    </row>
    <row r="22" spans="1:10" x14ac:dyDescent="0.3">
      <c r="F22" t="s">
        <v>30</v>
      </c>
      <c r="G22" cm="1">
        <f t="array" ref="G22">MIN(ABS(G3:G18))</f>
        <v>6.3365531298258809E-4</v>
      </c>
      <c r="H22" cm="1">
        <f t="array" ref="H22">MIN(ABS(H3:H18))</f>
        <v>7.2549795593210981E-4</v>
      </c>
      <c r="I22" cm="1">
        <f t="array" ref="I22">MIN(ABS(I3:I18))</f>
        <v>6.2617449018143034E-6</v>
      </c>
      <c r="J22" cm="1">
        <f t="array" ref="J22">MIN(ABS(J3:J18))</f>
        <v>6.2010120200850505E-5</v>
      </c>
    </row>
    <row r="23" spans="1:10" x14ac:dyDescent="0.3">
      <c r="F23" t="s">
        <v>31</v>
      </c>
      <c r="G23" cm="1">
        <f t="array" ref="G23">MAX(ABS((G3:G18)))</f>
        <v>1.5242679254225597</v>
      </c>
      <c r="H23" cm="1">
        <f t="array" ref="H23">MAX(ABS((H3:H18)))</f>
        <v>1.6154407719604564</v>
      </c>
      <c r="I23" cm="1">
        <f t="array" ref="I23">MAX(ABS((I3:I18)))</f>
        <v>8.7469501380815662E-2</v>
      </c>
      <c r="J23" cm="1">
        <f t="array" ref="J23">MAX(ABS((J3:J18)))</f>
        <v>0.48402423312669762</v>
      </c>
    </row>
    <row r="24" spans="1:10" x14ac:dyDescent="0.3">
      <c r="I24" t="s">
        <v>65</v>
      </c>
    </row>
    <row r="27" spans="1:10" x14ac:dyDescent="0.3">
      <c r="E27" t="s">
        <v>62</v>
      </c>
    </row>
    <row r="33" spans="1:7" x14ac:dyDescent="0.3">
      <c r="A33" s="10" t="s">
        <v>0</v>
      </c>
      <c r="B33" s="10" t="s">
        <v>2</v>
      </c>
      <c r="C33" s="10" t="s">
        <v>4</v>
      </c>
      <c r="D33" s="10" t="s">
        <v>1</v>
      </c>
      <c r="E33" s="10" t="s">
        <v>3</v>
      </c>
      <c r="F33" t="s">
        <v>70</v>
      </c>
      <c r="G33" t="s">
        <v>71</v>
      </c>
    </row>
    <row r="34" spans="1:7" x14ac:dyDescent="0.3">
      <c r="A34" s="10" t="s">
        <v>5</v>
      </c>
      <c r="B34" s="14">
        <v>5.7592095875525745E-2</v>
      </c>
      <c r="C34" s="14">
        <v>5.7677676773573452E-2</v>
      </c>
      <c r="D34" s="14">
        <v>5.6958440562543157E-2</v>
      </c>
      <c r="E34" s="14">
        <v>5.6952178817641343E-2</v>
      </c>
      <c r="F34" s="13">
        <f>(B34-C34)^2</f>
        <v>7.32409011065209E-9</v>
      </c>
      <c r="G34" s="13">
        <f>(D34-E34)^2</f>
        <v>3.9209449215397422E-11</v>
      </c>
    </row>
    <row r="35" spans="1:7" x14ac:dyDescent="0.3">
      <c r="A35" s="10" t="s">
        <v>6</v>
      </c>
      <c r="B35" s="14">
        <v>0.1336788117708895</v>
      </c>
      <c r="C35" s="14">
        <v>0.12554697719875568</v>
      </c>
      <c r="D35" s="14">
        <v>0.16477621757768376</v>
      </c>
      <c r="E35" s="14">
        <v>0.16266109889782701</v>
      </c>
      <c r="F35" s="13">
        <f t="shared" ref="F35:F48" si="6">(B35-C35)^2</f>
        <v>6.6126733508550784E-5</v>
      </c>
      <c r="G35" s="13">
        <f t="shared" ref="G35:G48" si="7">(D35-E35)^2</f>
        <v>4.4737270298789751E-6</v>
      </c>
    </row>
    <row r="36" spans="1:7" x14ac:dyDescent="0.3">
      <c r="A36" s="10" t="s">
        <v>7</v>
      </c>
      <c r="B36" s="14">
        <v>0.2900021854913139</v>
      </c>
      <c r="C36" s="14">
        <v>0.47813787814981179</v>
      </c>
      <c r="D36" s="14">
        <v>0.42220899556474106</v>
      </c>
      <c r="E36" s="14">
        <v>0.41672451131321214</v>
      </c>
      <c r="F36" s="12">
        <f t="shared" si="6"/>
        <v>3.5395038852092775E-2</v>
      </c>
      <c r="G36" s="13">
        <f t="shared" si="7"/>
        <v>3.0079567505268742E-5</v>
      </c>
    </row>
    <row r="37" spans="1:7" x14ac:dyDescent="0.3">
      <c r="A37" s="10" t="s">
        <v>8</v>
      </c>
      <c r="B37" s="14">
        <v>0.15820920628284238</v>
      </c>
      <c r="C37" s="14">
        <v>0.15827121640304323</v>
      </c>
      <c r="D37" s="14">
        <v>0.16590603326853773</v>
      </c>
      <c r="E37" s="14">
        <v>0.16398137403900861</v>
      </c>
      <c r="F37" s="13">
        <f t="shared" si="6"/>
        <v>3.8452550073239275E-9</v>
      </c>
      <c r="G37" s="13">
        <f t="shared" si="7"/>
        <v>3.7043131498115994E-6</v>
      </c>
    </row>
    <row r="38" spans="1:7" x14ac:dyDescent="0.3">
      <c r="A38" s="10" t="s">
        <v>9</v>
      </c>
      <c r="B38" s="14">
        <v>1.532022808949425</v>
      </c>
      <c r="C38" s="14">
        <v>1.6211729889021187</v>
      </c>
      <c r="D38" s="14">
        <v>0.93785728026309167</v>
      </c>
      <c r="E38" s="14">
        <v>0.93039481851283534</v>
      </c>
      <c r="F38" s="12">
        <f t="shared" si="6"/>
        <v>7.9477545855976689E-3</v>
      </c>
      <c r="G38" s="13">
        <f t="shared" si="7"/>
        <v>5.5688335374038808E-5</v>
      </c>
    </row>
    <row r="39" spans="1:7" x14ac:dyDescent="0.3">
      <c r="A39" s="10" t="s">
        <v>10</v>
      </c>
      <c r="B39" s="14">
        <v>1.1529505035955598</v>
      </c>
      <c r="C39" s="14">
        <v>1.2399132170705496</v>
      </c>
      <c r="D39" s="14">
        <v>0.74991443334942864</v>
      </c>
      <c r="E39" s="14">
        <v>0.83738393473024431</v>
      </c>
      <c r="F39" s="12">
        <f t="shared" si="6"/>
        <v>7.5625135349331619E-3</v>
      </c>
      <c r="G39" s="13">
        <f t="shared" si="7"/>
        <v>7.650913671808513E-3</v>
      </c>
    </row>
    <row r="40" spans="1:7" x14ac:dyDescent="0.3">
      <c r="A40" s="10" t="s">
        <v>11</v>
      </c>
      <c r="B40" s="14">
        <v>0.18108914305749688</v>
      </c>
      <c r="C40" s="14">
        <v>0.1741242682396591</v>
      </c>
      <c r="D40" s="14">
        <v>6.7645111876891234E-2</v>
      </c>
      <c r="E40" s="14">
        <v>6.7370222549363062E-2</v>
      </c>
      <c r="F40" s="13">
        <f t="shared" si="6"/>
        <v>4.850948122815084E-5</v>
      </c>
      <c r="G40" s="13">
        <f t="shared" si="7"/>
        <v>7.5564142388890415E-8</v>
      </c>
    </row>
    <row r="41" spans="1:7" x14ac:dyDescent="0.3">
      <c r="A41" s="10" t="s">
        <v>12</v>
      </c>
      <c r="B41" s="14">
        <v>0.36015301634947372</v>
      </c>
      <c r="C41" s="14">
        <v>0.36119400598673662</v>
      </c>
      <c r="D41" s="14">
        <v>0.42252327841193715</v>
      </c>
      <c r="E41" s="14">
        <v>0.42363314112059941</v>
      </c>
      <c r="F41" s="13">
        <f t="shared" si="6"/>
        <v>1.0836594248887469E-6</v>
      </c>
      <c r="G41" s="13">
        <f t="shared" si="7"/>
        <v>1.2317952320791221E-6</v>
      </c>
    </row>
    <row r="42" spans="1:7" x14ac:dyDescent="0.3">
      <c r="A42" s="10" t="s">
        <v>13</v>
      </c>
      <c r="B42" s="14">
        <v>2.3414318292371337</v>
      </c>
      <c r="C42" s="14">
        <v>2.4381037482599419</v>
      </c>
      <c r="D42" s="14">
        <v>0.81716390381457393</v>
      </c>
      <c r="E42" s="14">
        <v>0.82266297629948559</v>
      </c>
      <c r="F42" s="12">
        <f t="shared" si="6"/>
        <v>9.3454599275523964E-3</v>
      </c>
      <c r="G42" s="13">
        <f t="shared" si="7"/>
        <v>3.0239798194312502E-5</v>
      </c>
    </row>
    <row r="43" spans="1:7" x14ac:dyDescent="0.3">
      <c r="A43" s="10" t="s">
        <v>14</v>
      </c>
      <c r="B43" s="14">
        <v>0.4828738821766852</v>
      </c>
      <c r="C43" s="14">
        <v>0.46397364130072971</v>
      </c>
      <c r="D43" s="14">
        <v>0.4353572333784213</v>
      </c>
      <c r="E43" s="14">
        <v>0.42722029424183627</v>
      </c>
      <c r="F43" s="13">
        <f t="shared" si="6"/>
        <v>3.5721910516913863E-4</v>
      </c>
      <c r="G43" s="13">
        <f t="shared" si="7"/>
        <v>6.6209778512489151E-5</v>
      </c>
    </row>
    <row r="44" spans="1:7" x14ac:dyDescent="0.3">
      <c r="A44" s="10" t="s">
        <v>15</v>
      </c>
      <c r="B44" s="14">
        <v>0.57510034874516658</v>
      </c>
      <c r="C44" s="14">
        <v>1.0591245818718642</v>
      </c>
      <c r="D44" s="14">
        <v>0.30310139276677783</v>
      </c>
      <c r="E44" s="14">
        <v>0.30132723852926691</v>
      </c>
      <c r="F44" s="12">
        <f t="shared" si="6"/>
        <v>0.23427945825388774</v>
      </c>
      <c r="G44" s="13">
        <f t="shared" si="7"/>
        <v>3.1476232584779807E-6</v>
      </c>
    </row>
    <row r="45" spans="1:7" x14ac:dyDescent="0.3">
      <c r="A45" s="10" t="s">
        <v>16</v>
      </c>
      <c r="B45" s="14">
        <v>1.0068101697287688</v>
      </c>
      <c r="C45" s="14">
        <v>1.0269846197164814</v>
      </c>
      <c r="D45" s="14">
        <v>0.79857488309816571</v>
      </c>
      <c r="E45" s="14">
        <v>0.79888926228003487</v>
      </c>
      <c r="F45" s="13">
        <f t="shared" si="6"/>
        <v>4.0700843230671537E-4</v>
      </c>
      <c r="G45" s="13">
        <f t="shared" si="7"/>
        <v>9.8834269992723719E-8</v>
      </c>
    </row>
    <row r="46" spans="1:7" x14ac:dyDescent="0.3">
      <c r="A46" s="10" t="s">
        <v>17</v>
      </c>
      <c r="B46" s="14">
        <v>0.22797309354263168</v>
      </c>
      <c r="C46" s="14">
        <v>0.24963434300754492</v>
      </c>
      <c r="D46" s="14">
        <v>0.69135095672928715</v>
      </c>
      <c r="E46" s="14">
        <v>0.67928456045542807</v>
      </c>
      <c r="F46" s="13">
        <f t="shared" si="6"/>
        <v>4.6920972838120415E-4</v>
      </c>
      <c r="G46" s="13">
        <f t="shared" si="7"/>
        <v>1.4559791903780031E-4</v>
      </c>
    </row>
    <row r="47" spans="1:7" x14ac:dyDescent="0.3">
      <c r="A47" s="10" t="s">
        <v>18</v>
      </c>
      <c r="B47" s="14">
        <v>0.15127793265476244</v>
      </c>
      <c r="C47" s="14">
        <v>0.14622487335762419</v>
      </c>
      <c r="D47" s="14">
        <v>0.30626861987556281</v>
      </c>
      <c r="E47" s="14">
        <v>0.30458021842854588</v>
      </c>
      <c r="F47" s="13">
        <f t="shared" si="6"/>
        <v>2.5533408260395377E-5</v>
      </c>
      <c r="G47" s="13">
        <f t="shared" si="7"/>
        <v>2.8506994462888615E-6</v>
      </c>
    </row>
    <row r="48" spans="1:7" x14ac:dyDescent="0.3">
      <c r="A48" s="10" t="s">
        <v>19</v>
      </c>
      <c r="B48" s="14">
        <v>0.78544389632424549</v>
      </c>
      <c r="C48" s="14">
        <v>0.82834712247623377</v>
      </c>
      <c r="D48" s="14">
        <v>0.54859377899802519</v>
      </c>
      <c r="E48" s="14">
        <v>0.55450017222219883</v>
      </c>
      <c r="F48" s="13">
        <f t="shared" si="6"/>
        <v>1.8406868142486503E-3</v>
      </c>
      <c r="G48" s="13">
        <f t="shared" si="7"/>
        <v>3.4885480918564211E-5</v>
      </c>
    </row>
    <row r="49" spans="1:7" x14ac:dyDescent="0.3">
      <c r="A49" s="10" t="s">
        <v>20</v>
      </c>
      <c r="B49" s="14">
        <v>0.12653447019193792</v>
      </c>
      <c r="C49" s="14">
        <v>0.13121258121726656</v>
      </c>
      <c r="D49" s="14">
        <v>0.12746637485851561</v>
      </c>
      <c r="E49" s="14">
        <v>0.13210414084254268</v>
      </c>
      <c r="F49" s="13">
        <f t="shared" ref="F49" si="8">(B49-C49)^2</f>
        <v>2.1884722765301384E-5</v>
      </c>
      <c r="G49" s="13">
        <f t="shared" ref="G49" si="9">(D49-E49)^2</f>
        <v>2.1508873322598579E-5</v>
      </c>
    </row>
    <row r="51" spans="1:7" x14ac:dyDescent="0.3">
      <c r="F51" s="12">
        <f>AVERAGE(F34:F49)</f>
        <v>1.8610468650543867E-2</v>
      </c>
      <c r="G51" s="12">
        <f>AVERAGE(G34:G49)</f>
        <v>5.0316912627574695E-4</v>
      </c>
    </row>
    <row r="52" spans="1:7" x14ac:dyDescent="0.3">
      <c r="F52" s="12">
        <f>SUM(F34:F49)</f>
        <v>0.29776749840870187</v>
      </c>
      <c r="G52" s="12">
        <f>SUM(G34:G49)</f>
        <v>8.0507060204119511E-3</v>
      </c>
    </row>
    <row r="53" spans="1:7" x14ac:dyDescent="0.3">
      <c r="F53">
        <f>STDEV(F34:F49)</f>
        <v>5.8200622036207475E-2</v>
      </c>
      <c r="G53">
        <f>STDEV(G34:G49)</f>
        <v>1.9064425707923762E-3</v>
      </c>
    </row>
    <row r="55" spans="1:7" ht="15" thickBot="1" x14ac:dyDescent="0.35"/>
    <row r="56" spans="1:7" ht="125.4" thickBot="1" x14ac:dyDescent="0.35">
      <c r="A56" s="10" t="s">
        <v>0</v>
      </c>
      <c r="B56" s="10" t="s">
        <v>2</v>
      </c>
      <c r="C56" s="10" t="s">
        <v>4</v>
      </c>
      <c r="D56" s="10" t="s">
        <v>1</v>
      </c>
      <c r="E56" s="10" t="s">
        <v>3</v>
      </c>
      <c r="F56" s="17" t="s">
        <v>83</v>
      </c>
      <c r="G56" s="42" t="s">
        <v>84</v>
      </c>
    </row>
    <row r="57" spans="1:7" x14ac:dyDescent="0.3">
      <c r="A57" s="10" t="s">
        <v>5</v>
      </c>
      <c r="B57" s="14">
        <v>5.7592095875525745E-2</v>
      </c>
      <c r="C57" s="14">
        <v>5.7677676773573452E-2</v>
      </c>
      <c r="D57" s="14">
        <v>5.6958440562543157E-2</v>
      </c>
      <c r="E57" s="14">
        <v>5.6952178817641343E-2</v>
      </c>
      <c r="F57" s="13">
        <f>ABS(B57-C57)</f>
        <v>8.558089804770741E-5</v>
      </c>
      <c r="G57" s="13">
        <f>ABS(D57-E57)</f>
        <v>6.2617449018143034E-6</v>
      </c>
    </row>
    <row r="58" spans="1:7" x14ac:dyDescent="0.3">
      <c r="A58" s="10" t="s">
        <v>6</v>
      </c>
      <c r="B58" s="14">
        <v>0.1336788117708895</v>
      </c>
      <c r="C58" s="14">
        <v>0.12554697719875568</v>
      </c>
      <c r="D58" s="14">
        <v>0.16477621757768376</v>
      </c>
      <c r="E58" s="14">
        <v>0.16266109889782701</v>
      </c>
      <c r="F58" s="13">
        <f t="shared" ref="F58:F72" si="10">ABS(B58-C58)</f>
        <v>8.131834572133817E-3</v>
      </c>
      <c r="G58" s="13">
        <f t="shared" ref="G58:G72" si="11">ABS(D58-E58)</f>
        <v>2.1151186798567534E-3</v>
      </c>
    </row>
    <row r="59" spans="1:7" x14ac:dyDescent="0.3">
      <c r="A59" s="10" t="s">
        <v>7</v>
      </c>
      <c r="B59" s="14">
        <v>0.2900021854913139</v>
      </c>
      <c r="C59" s="14">
        <v>0.47813787814981179</v>
      </c>
      <c r="D59" s="14">
        <v>0.42220899556474106</v>
      </c>
      <c r="E59" s="14">
        <v>0.41672451131321214</v>
      </c>
      <c r="F59" s="33">
        <f t="shared" si="10"/>
        <v>0.18813569265849789</v>
      </c>
      <c r="G59" s="13">
        <f t="shared" si="11"/>
        <v>5.4844842515289205E-3</v>
      </c>
    </row>
    <row r="60" spans="1:7" x14ac:dyDescent="0.3">
      <c r="A60" s="10" t="s">
        <v>8</v>
      </c>
      <c r="B60" s="14">
        <v>0.15820920628284238</v>
      </c>
      <c r="C60" s="14">
        <v>0.15827121640304323</v>
      </c>
      <c r="D60" s="14">
        <v>0.16590603326853773</v>
      </c>
      <c r="E60" s="14">
        <v>0.16398137403900861</v>
      </c>
      <c r="F60" s="13">
        <f t="shared" si="10"/>
        <v>6.2010120200850505E-5</v>
      </c>
      <c r="G60" s="13">
        <f t="shared" si="11"/>
        <v>1.9246592295291132E-3</v>
      </c>
    </row>
    <row r="61" spans="1:7" x14ac:dyDescent="0.3">
      <c r="A61" s="10" t="s">
        <v>9</v>
      </c>
      <c r="B61" s="14">
        <v>1.532022808949425</v>
      </c>
      <c r="C61" s="14">
        <v>1.6211729889021187</v>
      </c>
      <c r="D61" s="14">
        <v>0.93785728026309167</v>
      </c>
      <c r="E61" s="14">
        <v>0.93039481851283534</v>
      </c>
      <c r="F61" s="33">
        <f t="shared" si="10"/>
        <v>8.9150179952693698E-2</v>
      </c>
      <c r="G61" s="13">
        <f t="shared" si="11"/>
        <v>7.4624617502563328E-3</v>
      </c>
    </row>
    <row r="62" spans="1:7" x14ac:dyDescent="0.3">
      <c r="A62" s="10" t="s">
        <v>10</v>
      </c>
      <c r="B62" s="14">
        <v>1.1529505035955598</v>
      </c>
      <c r="C62" s="14">
        <v>1.2399132170705496</v>
      </c>
      <c r="D62" s="14">
        <v>0.74991443334942864</v>
      </c>
      <c r="E62" s="14">
        <v>0.83738393473024431</v>
      </c>
      <c r="F62" s="33">
        <f t="shared" si="10"/>
        <v>8.6962713474989739E-2</v>
      </c>
      <c r="G62" s="33">
        <f t="shared" si="11"/>
        <v>8.7469501380815662E-2</v>
      </c>
    </row>
    <row r="63" spans="1:7" x14ac:dyDescent="0.3">
      <c r="A63" s="10" t="s">
        <v>11</v>
      </c>
      <c r="B63" s="14">
        <v>0.18108914305749688</v>
      </c>
      <c r="C63" s="14">
        <v>0.1741242682396591</v>
      </c>
      <c r="D63" s="14">
        <v>6.7645111876891234E-2</v>
      </c>
      <c r="E63" s="14">
        <v>6.7370222549363062E-2</v>
      </c>
      <c r="F63" s="13">
        <f t="shared" si="10"/>
        <v>6.9648748178377795E-3</v>
      </c>
      <c r="G63" s="13">
        <f t="shared" si="11"/>
        <v>2.7488932752817163E-4</v>
      </c>
    </row>
    <row r="64" spans="1:7" x14ac:dyDescent="0.3">
      <c r="A64" s="10" t="s">
        <v>12</v>
      </c>
      <c r="B64" s="14">
        <v>0.36015301634947372</v>
      </c>
      <c r="C64" s="14">
        <v>0.36119400598673662</v>
      </c>
      <c r="D64" s="14">
        <v>0.42252327841193715</v>
      </c>
      <c r="E64" s="14">
        <v>0.42363314112059941</v>
      </c>
      <c r="F64" s="13">
        <f t="shared" si="10"/>
        <v>1.0409896372629013E-3</v>
      </c>
      <c r="G64" s="13">
        <f t="shared" si="11"/>
        <v>1.109862708662257E-3</v>
      </c>
    </row>
    <row r="65" spans="1:7" x14ac:dyDescent="0.3">
      <c r="A65" s="10" t="s">
        <v>13</v>
      </c>
      <c r="B65" s="14">
        <v>2.3414318292371337</v>
      </c>
      <c r="C65" s="14">
        <v>2.4381037482599419</v>
      </c>
      <c r="D65" s="14">
        <v>0.81716390381457393</v>
      </c>
      <c r="E65" s="14">
        <v>0.82266297629948559</v>
      </c>
      <c r="F65" s="33">
        <f t="shared" si="10"/>
        <v>9.667191902280825E-2</v>
      </c>
      <c r="G65" s="13">
        <f t="shared" si="11"/>
        <v>5.4990724849116601E-3</v>
      </c>
    </row>
    <row r="66" spans="1:7" x14ac:dyDescent="0.3">
      <c r="A66" s="10" t="s">
        <v>14</v>
      </c>
      <c r="B66" s="14">
        <v>0.4828738821766852</v>
      </c>
      <c r="C66" s="14">
        <v>0.46397364130072971</v>
      </c>
      <c r="D66" s="14">
        <v>0.4353572333784213</v>
      </c>
      <c r="E66" s="14">
        <v>0.42722029424183627</v>
      </c>
      <c r="F66" s="33">
        <f t="shared" si="10"/>
        <v>1.8900240875955487E-2</v>
      </c>
      <c r="G66" s="13">
        <f t="shared" si="11"/>
        <v>8.1369391365850308E-3</v>
      </c>
    </row>
    <row r="67" spans="1:7" x14ac:dyDescent="0.3">
      <c r="A67" s="10" t="s">
        <v>15</v>
      </c>
      <c r="B67" s="14">
        <v>0.57510034874516658</v>
      </c>
      <c r="C67" s="14">
        <v>1.0591245818718642</v>
      </c>
      <c r="D67" s="14">
        <v>0.30310139276677783</v>
      </c>
      <c r="E67" s="14">
        <v>0.30132723852926691</v>
      </c>
      <c r="F67" s="43">
        <f t="shared" si="10"/>
        <v>0.48402423312669762</v>
      </c>
      <c r="G67" s="13">
        <f t="shared" si="11"/>
        <v>1.7741542375109276E-3</v>
      </c>
    </row>
    <row r="68" spans="1:7" x14ac:dyDescent="0.3">
      <c r="A68" s="10" t="s">
        <v>16</v>
      </c>
      <c r="B68" s="14">
        <v>1.0068101697287688</v>
      </c>
      <c r="C68" s="14">
        <v>1.0269846197164814</v>
      </c>
      <c r="D68" s="14">
        <v>0.79857488309816571</v>
      </c>
      <c r="E68" s="14">
        <v>0.79888926228003487</v>
      </c>
      <c r="F68" s="33">
        <f t="shared" si="10"/>
        <v>2.0174449987712562E-2</v>
      </c>
      <c r="G68" s="13">
        <f t="shared" si="11"/>
        <v>3.1437918186916214E-4</v>
      </c>
    </row>
    <row r="69" spans="1:7" x14ac:dyDescent="0.3">
      <c r="A69" s="10" t="s">
        <v>17</v>
      </c>
      <c r="B69" s="14">
        <v>0.22797309354263168</v>
      </c>
      <c r="C69" s="14">
        <v>0.24963434300754492</v>
      </c>
      <c r="D69" s="14">
        <v>0.69135095672928715</v>
      </c>
      <c r="E69" s="14">
        <v>0.67928456045542807</v>
      </c>
      <c r="F69" s="33">
        <f t="shared" si="10"/>
        <v>2.166124946491324E-2</v>
      </c>
      <c r="G69" s="33">
        <f t="shared" si="11"/>
        <v>1.2066396273859081E-2</v>
      </c>
    </row>
    <row r="70" spans="1:7" x14ac:dyDescent="0.3">
      <c r="A70" s="10" t="s">
        <v>18</v>
      </c>
      <c r="B70" s="14">
        <v>0.15127793265476244</v>
      </c>
      <c r="C70" s="14">
        <v>0.14622487335762419</v>
      </c>
      <c r="D70" s="14">
        <v>0.30626861987556281</v>
      </c>
      <c r="E70" s="14">
        <v>0.30458021842854588</v>
      </c>
      <c r="F70" s="13">
        <f t="shared" si="10"/>
        <v>5.0530592971382571E-3</v>
      </c>
      <c r="G70" s="13">
        <f t="shared" si="11"/>
        <v>1.6884014470169295E-3</v>
      </c>
    </row>
    <row r="71" spans="1:7" x14ac:dyDescent="0.3">
      <c r="A71" s="10" t="s">
        <v>19</v>
      </c>
      <c r="B71" s="14">
        <v>0.78544389632424549</v>
      </c>
      <c r="C71" s="14">
        <v>0.82834712247623377</v>
      </c>
      <c r="D71" s="14">
        <v>0.54859377899802519</v>
      </c>
      <c r="E71" s="14">
        <v>0.55450017222219883</v>
      </c>
      <c r="F71" s="33">
        <f t="shared" si="10"/>
        <v>4.2903226151988272E-2</v>
      </c>
      <c r="G71" s="13">
        <f t="shared" si="11"/>
        <v>5.9063932241736339E-3</v>
      </c>
    </row>
    <row r="72" spans="1:7" x14ac:dyDescent="0.3">
      <c r="A72" s="10" t="s">
        <v>20</v>
      </c>
      <c r="B72" s="14">
        <v>0.12653447019193792</v>
      </c>
      <c r="C72" s="14">
        <v>0.13121258121726656</v>
      </c>
      <c r="D72" s="14">
        <v>0.12746637485851561</v>
      </c>
      <c r="E72" s="14">
        <v>0.13210414084254268</v>
      </c>
      <c r="F72" s="13">
        <f t="shared" si="10"/>
        <v>4.6781110253286406E-3</v>
      </c>
      <c r="G72" s="13">
        <f t="shared" si="11"/>
        <v>4.6377659840270702E-3</v>
      </c>
    </row>
    <row r="73" spans="1:7" x14ac:dyDescent="0.3">
      <c r="E73" t="s">
        <v>92</v>
      </c>
      <c r="F73" s="13">
        <f>AVERAGE(F57:F72)</f>
        <v>6.7162522817762915E-2</v>
      </c>
      <c r="G73" s="13">
        <f>AVERAGE(G57:G72)</f>
        <v>9.1169213151895325E-3</v>
      </c>
    </row>
    <row r="74" spans="1:7" x14ac:dyDescent="0.3">
      <c r="E74" t="s">
        <v>82</v>
      </c>
      <c r="F74">
        <f>STDEV(F57:F72)</f>
        <v>0.1226362172902055</v>
      </c>
      <c r="G74">
        <f>STDEV(G57:G72)</f>
        <v>2.11672923038261E-2</v>
      </c>
    </row>
    <row r="75" spans="1:7" x14ac:dyDescent="0.3">
      <c r="E75" t="s">
        <v>93</v>
      </c>
      <c r="F75" s="13">
        <f>MIN(F57:F72)</f>
        <v>6.2010120200850505E-5</v>
      </c>
      <c r="G75" s="13">
        <f>MIN(G57:G72)</f>
        <v>6.2617449018143034E-6</v>
      </c>
    </row>
    <row r="76" spans="1:7" x14ac:dyDescent="0.3">
      <c r="E76" t="s">
        <v>94</v>
      </c>
      <c r="F76" s="13">
        <f>MAX(F57:F72)</f>
        <v>0.48402423312669762</v>
      </c>
      <c r="G76" s="13">
        <f>MAX(G57:G72)</f>
        <v>8.7469501380815662E-2</v>
      </c>
    </row>
  </sheetData>
  <mergeCells count="5">
    <mergeCell ref="A1:E1"/>
    <mergeCell ref="G1:H1"/>
    <mergeCell ref="I1:J1"/>
    <mergeCell ref="G19:H19"/>
    <mergeCell ref="I19:J19"/>
  </mergeCells>
  <conditionalFormatting sqref="G3:G18">
    <cfRule type="colorScale" priority="2">
      <colorScale>
        <cfvo type="min"/>
        <cfvo type="max"/>
        <color theme="0"/>
        <color theme="5" tint="0.79998168889431442"/>
      </colorScale>
    </cfRule>
  </conditionalFormatting>
  <conditionalFormatting sqref="H3:H18">
    <cfRule type="colorScale" priority="3">
      <colorScale>
        <cfvo type="min"/>
        <cfvo type="max"/>
        <color theme="0"/>
        <color theme="5" tint="0.79998168889431442"/>
      </colorScale>
    </cfRule>
  </conditionalFormatting>
  <conditionalFormatting sqref="I3:I18">
    <cfRule type="colorScale" priority="4">
      <colorScale>
        <cfvo type="min"/>
        <cfvo type="max"/>
        <color theme="0"/>
        <color theme="5" tint="0.79998168889431442"/>
      </colorScale>
    </cfRule>
  </conditionalFormatting>
  <conditionalFormatting sqref="J3:J18">
    <cfRule type="colorScale" priority="5">
      <colorScale>
        <cfvo type="min"/>
        <cfvo type="max"/>
        <color theme="0"/>
        <color theme="5" tint="0.79998168889431442"/>
      </colorScale>
    </cfRule>
  </conditionalFormatting>
  <conditionalFormatting sqref="F57:G72">
    <cfRule type="colorScale" priority="1">
      <colorScale>
        <cfvo type="min"/>
        <cfvo type="max"/>
        <color theme="0"/>
        <color theme="9" tint="-0.249977111117893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9E5C8-F865-4E7B-9150-88C9C8EE00B2}">
  <dimension ref="A1:O86"/>
  <sheetViews>
    <sheetView topLeftCell="H34" zoomScale="185" workbookViewId="0">
      <selection activeCell="P42" sqref="P42"/>
    </sheetView>
  </sheetViews>
  <sheetFormatPr defaultRowHeight="14.4" x14ac:dyDescent="0.3"/>
  <cols>
    <col min="1" max="1" width="6.21875" bestFit="1" customWidth="1"/>
    <col min="2" max="2" width="12.77734375" bestFit="1" customWidth="1"/>
    <col min="3" max="3" width="13.44140625" bestFit="1" customWidth="1"/>
    <col min="4" max="4" width="15.5546875" bestFit="1" customWidth="1"/>
    <col min="5" max="5" width="16.5546875" bestFit="1" customWidth="1"/>
    <col min="6" max="6" width="15" bestFit="1" customWidth="1"/>
    <col min="7" max="7" width="26.6640625" bestFit="1" customWidth="1"/>
    <col min="8" max="8" width="32" bestFit="1" customWidth="1"/>
    <col min="9" max="9" width="27.77734375" bestFit="1" customWidth="1"/>
    <col min="10" max="10" width="30.109375" bestFit="1" customWidth="1"/>
    <col min="11" max="13" width="9.109375" bestFit="1" customWidth="1"/>
    <col min="14" max="14" width="11" bestFit="1" customWidth="1"/>
    <col min="15" max="15" width="12" bestFit="1" customWidth="1"/>
  </cols>
  <sheetData>
    <row r="1" spans="1:10" x14ac:dyDescent="0.3">
      <c r="A1" s="22" t="s">
        <v>21</v>
      </c>
      <c r="B1" s="23"/>
      <c r="C1" s="23"/>
      <c r="D1" s="23"/>
      <c r="E1" s="23"/>
      <c r="G1" s="22" t="s">
        <v>66</v>
      </c>
      <c r="H1" s="22"/>
      <c r="I1" s="22" t="s">
        <v>24</v>
      </c>
      <c r="J1" s="22"/>
    </row>
    <row r="2" spans="1:10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G2" t="s">
        <v>22</v>
      </c>
      <c r="H2" t="s">
        <v>23</v>
      </c>
      <c r="I2" t="s">
        <v>25</v>
      </c>
      <c r="J2" t="s">
        <v>26</v>
      </c>
    </row>
    <row r="3" spans="1:10" x14ac:dyDescent="0.3">
      <c r="A3" t="s">
        <v>5</v>
      </c>
      <c r="B3" s="3">
        <v>0</v>
      </c>
      <c r="C3">
        <v>0</v>
      </c>
      <c r="D3" s="3">
        <v>0</v>
      </c>
      <c r="E3" s="3">
        <v>0</v>
      </c>
      <c r="G3">
        <f>ABS(B3-C3)</f>
        <v>0</v>
      </c>
      <c r="H3">
        <f>ABS(D3-E3)</f>
        <v>0</v>
      </c>
      <c r="I3">
        <f>ABS(B3-D3)</f>
        <v>0</v>
      </c>
      <c r="J3">
        <f>ABS(C3-E3)</f>
        <v>0</v>
      </c>
    </row>
    <row r="4" spans="1:10" x14ac:dyDescent="0.3">
      <c r="A4" t="s">
        <v>6</v>
      </c>
      <c r="B4" s="3">
        <v>0.58550612161551696</v>
      </c>
      <c r="C4">
        <v>0.25969082648775677</v>
      </c>
      <c r="D4" s="3">
        <v>0.57064234194706498</v>
      </c>
      <c r="E4" s="3">
        <v>0.1494110628458015</v>
      </c>
      <c r="G4">
        <f t="shared" ref="G4:G17" si="0">ABS(B4-C4)</f>
        <v>0.3258152951277602</v>
      </c>
      <c r="H4">
        <f t="shared" ref="H4:H18" si="1">ABS(D4-E4)</f>
        <v>0.42123127910126346</v>
      </c>
      <c r="I4">
        <f t="shared" ref="I4:I18" si="2">ABS(B4-D4)</f>
        <v>1.4863779668451982E-2</v>
      </c>
      <c r="J4">
        <f t="shared" ref="J4:J18" si="3">ABS(C4-E4)</f>
        <v>0.11027976364195527</v>
      </c>
    </row>
    <row r="5" spans="1:10" x14ac:dyDescent="0.3">
      <c r="A5" t="s">
        <v>7</v>
      </c>
      <c r="B5" s="3">
        <v>1.1617719375330431</v>
      </c>
      <c r="C5" s="8">
        <v>4.5172932657967522</v>
      </c>
      <c r="D5" s="3">
        <v>1.1290153609601821</v>
      </c>
      <c r="E5" s="9">
        <v>-0.11131884974850499</v>
      </c>
      <c r="G5">
        <f t="shared" si="0"/>
        <v>3.3555213282637091</v>
      </c>
      <c r="H5">
        <f t="shared" si="1"/>
        <v>1.240334210708687</v>
      </c>
      <c r="I5">
        <f t="shared" si="2"/>
        <v>3.2756576572861018E-2</v>
      </c>
      <c r="J5">
        <f t="shared" si="3"/>
        <v>4.6286121155452573</v>
      </c>
    </row>
    <row r="6" spans="1:10" x14ac:dyDescent="0.3">
      <c r="A6" t="s">
        <v>8</v>
      </c>
      <c r="B6" s="3">
        <v>0.45267589478788578</v>
      </c>
      <c r="C6">
        <v>1.3601839297752463</v>
      </c>
      <c r="D6" s="3">
        <v>0.45357064081480253</v>
      </c>
      <c r="E6" s="3">
        <v>1.2858158970584845</v>
      </c>
      <c r="G6">
        <f t="shared" si="0"/>
        <v>0.90750803498736055</v>
      </c>
      <c r="H6">
        <f t="shared" si="1"/>
        <v>0.83224525624368195</v>
      </c>
      <c r="I6">
        <f t="shared" si="2"/>
        <v>8.9474602691674843E-4</v>
      </c>
      <c r="J6">
        <f t="shared" si="3"/>
        <v>7.4368032716761734E-2</v>
      </c>
    </row>
    <row r="7" spans="1:10" x14ac:dyDescent="0.3">
      <c r="A7" t="s">
        <v>9</v>
      </c>
      <c r="B7" s="3">
        <v>0.45551893074677169</v>
      </c>
      <c r="C7" s="8">
        <v>0.76613695065392151</v>
      </c>
      <c r="D7" s="3">
        <v>0.46783622089839999</v>
      </c>
      <c r="E7" s="3">
        <v>0.48094729660902102</v>
      </c>
      <c r="G7">
        <f t="shared" si="0"/>
        <v>0.31061801990714982</v>
      </c>
      <c r="H7">
        <f t="shared" si="1"/>
        <v>1.3111075710621034E-2</v>
      </c>
      <c r="I7">
        <f t="shared" si="2"/>
        <v>1.2317290151628302E-2</v>
      </c>
      <c r="J7">
        <f t="shared" si="3"/>
        <v>0.28518965404490049</v>
      </c>
    </row>
    <row r="8" spans="1:10" x14ac:dyDescent="0.3">
      <c r="A8" t="s">
        <v>10</v>
      </c>
      <c r="B8" s="3">
        <v>0.40776973206339889</v>
      </c>
      <c r="C8">
        <v>2.7003991992948202</v>
      </c>
      <c r="D8" s="3">
        <v>0.3813641349047649</v>
      </c>
      <c r="E8" s="3">
        <v>3.7455663245968287</v>
      </c>
      <c r="G8">
        <f t="shared" si="0"/>
        <v>2.2926294672314214</v>
      </c>
      <c r="H8">
        <f t="shared" si="1"/>
        <v>3.364202189692064</v>
      </c>
      <c r="I8">
        <f t="shared" si="2"/>
        <v>2.6405597158633998E-2</v>
      </c>
      <c r="J8">
        <f t="shared" si="3"/>
        <v>1.0451671253020085</v>
      </c>
    </row>
    <row r="9" spans="1:10" x14ac:dyDescent="0.3">
      <c r="A9" t="s">
        <v>11</v>
      </c>
      <c r="B9" s="3">
        <v>0.65725345157986881</v>
      </c>
      <c r="C9">
        <v>2.4220314046117526</v>
      </c>
      <c r="D9" s="3">
        <v>0.63611976806750448</v>
      </c>
      <c r="E9" s="3">
        <v>2.3435239795730016</v>
      </c>
      <c r="G9">
        <f t="shared" si="0"/>
        <v>1.7647779530318837</v>
      </c>
      <c r="H9">
        <f t="shared" si="1"/>
        <v>1.707404211505497</v>
      </c>
      <c r="I9">
        <f t="shared" si="2"/>
        <v>2.1133683512364332E-2</v>
      </c>
      <c r="J9">
        <f t="shared" si="3"/>
        <v>7.8507425038750966E-2</v>
      </c>
    </row>
    <row r="10" spans="1:10" x14ac:dyDescent="0.3">
      <c r="A10" t="s">
        <v>12</v>
      </c>
      <c r="B10" s="3">
        <v>0.36378934552103126</v>
      </c>
      <c r="C10">
        <v>1.3442466203917958</v>
      </c>
      <c r="D10" s="3">
        <v>0.36148247524765098</v>
      </c>
      <c r="E10" s="3">
        <v>1.2860671539274922</v>
      </c>
      <c r="G10">
        <f t="shared" si="0"/>
        <v>0.98045727487076451</v>
      </c>
      <c r="H10">
        <f t="shared" si="1"/>
        <v>0.92458467867984118</v>
      </c>
      <c r="I10">
        <f t="shared" si="2"/>
        <v>2.3068702733802793E-3</v>
      </c>
      <c r="J10">
        <f t="shared" si="3"/>
        <v>5.8179466464303609E-2</v>
      </c>
    </row>
    <row r="11" spans="1:10" x14ac:dyDescent="0.3">
      <c r="A11" t="s">
        <v>13</v>
      </c>
      <c r="B11" s="3">
        <v>0.51319432451186719</v>
      </c>
      <c r="C11">
        <v>-1.7463821324944699</v>
      </c>
      <c r="D11" s="3">
        <v>0.52769648162298632</v>
      </c>
      <c r="E11" s="3">
        <v>-2.256070397526281</v>
      </c>
      <c r="G11">
        <f t="shared" si="0"/>
        <v>2.2595764570063372</v>
      </c>
      <c r="H11">
        <f t="shared" si="1"/>
        <v>2.7837668791492671</v>
      </c>
      <c r="I11">
        <f t="shared" si="2"/>
        <v>1.4502157111119129E-2</v>
      </c>
      <c r="J11">
        <f t="shared" si="3"/>
        <v>0.50968826503181108</v>
      </c>
    </row>
    <row r="12" spans="1:10" x14ac:dyDescent="0.3">
      <c r="A12" t="s">
        <v>14</v>
      </c>
      <c r="B12" s="3">
        <v>0.61861956342646129</v>
      </c>
      <c r="C12">
        <v>1.3118099027545977</v>
      </c>
      <c r="D12" s="3">
        <v>0.51467144300983547</v>
      </c>
      <c r="E12" s="3">
        <v>0.52141387327468813</v>
      </c>
      <c r="G12">
        <f t="shared" si="0"/>
        <v>0.69319033932813645</v>
      </c>
      <c r="H12">
        <f t="shared" si="1"/>
        <v>6.7424302648526613E-3</v>
      </c>
      <c r="I12">
        <f t="shared" si="2"/>
        <v>0.10394812041662582</v>
      </c>
      <c r="J12">
        <f t="shared" si="3"/>
        <v>0.79039602947990961</v>
      </c>
    </row>
    <row r="13" spans="1:10" x14ac:dyDescent="0.3">
      <c r="A13" t="s">
        <v>15</v>
      </c>
      <c r="B13" s="3">
        <v>-0.23085034522082898</v>
      </c>
      <c r="C13">
        <v>0.8992056573891074</v>
      </c>
      <c r="D13" s="3">
        <v>-0.21279907680148114</v>
      </c>
      <c r="E13" s="3">
        <v>1.4976938623824418</v>
      </c>
      <c r="G13">
        <f t="shared" si="0"/>
        <v>1.1300560026099364</v>
      </c>
      <c r="H13">
        <f t="shared" si="1"/>
        <v>1.710492939183923</v>
      </c>
      <c r="I13">
        <f t="shared" si="2"/>
        <v>1.8051268419347843E-2</v>
      </c>
      <c r="J13">
        <f t="shared" si="3"/>
        <v>0.59848820499333444</v>
      </c>
    </row>
    <row r="14" spans="1:10" x14ac:dyDescent="0.3">
      <c r="A14" t="s">
        <v>16</v>
      </c>
      <c r="B14" s="3">
        <v>0.23439218557670516</v>
      </c>
      <c r="C14">
        <v>1.2436923942735418</v>
      </c>
      <c r="D14" s="3">
        <v>0.22204667138790765</v>
      </c>
      <c r="E14" s="3">
        <v>1.3742285218417694</v>
      </c>
      <c r="G14">
        <f t="shared" si="0"/>
        <v>1.0093002086968368</v>
      </c>
      <c r="H14">
        <f t="shared" si="1"/>
        <v>1.1521818504538617</v>
      </c>
      <c r="I14">
        <f t="shared" si="2"/>
        <v>1.2345514188797507E-2</v>
      </c>
      <c r="J14">
        <f t="shared" si="3"/>
        <v>0.13053612756822752</v>
      </c>
    </row>
    <row r="15" spans="1:10" x14ac:dyDescent="0.3">
      <c r="A15" t="s">
        <v>17</v>
      </c>
      <c r="B15" s="3">
        <v>-0.13462332866487314</v>
      </c>
      <c r="C15">
        <v>-3.3894037043716021</v>
      </c>
      <c r="D15" s="3">
        <v>-0.1292952253852086</v>
      </c>
      <c r="E15" s="3">
        <v>-2.8856371520593274</v>
      </c>
      <c r="G15">
        <f t="shared" si="0"/>
        <v>3.2547803757067291</v>
      </c>
      <c r="H15">
        <f t="shared" si="1"/>
        <v>2.7563419266741187</v>
      </c>
      <c r="I15">
        <f t="shared" si="2"/>
        <v>5.3281032796645422E-3</v>
      </c>
      <c r="J15">
        <f t="shared" si="3"/>
        <v>0.50376655231227474</v>
      </c>
    </row>
    <row r="16" spans="1:10" x14ac:dyDescent="0.3">
      <c r="A16" t="s">
        <v>18</v>
      </c>
      <c r="B16" s="3">
        <v>0.28758368871011325</v>
      </c>
      <c r="C16">
        <v>0.3095724515287247</v>
      </c>
      <c r="D16" s="3">
        <v>0.27682566746891396</v>
      </c>
      <c r="E16" s="3">
        <v>0.31645073641304478</v>
      </c>
      <c r="G16">
        <f t="shared" si="0"/>
        <v>2.1988762818611451E-2</v>
      </c>
      <c r="H16">
        <f t="shared" si="1"/>
        <v>3.9625068944130815E-2</v>
      </c>
      <c r="I16">
        <f t="shared" si="2"/>
        <v>1.0758021241199289E-2</v>
      </c>
      <c r="J16">
        <f t="shared" si="3"/>
        <v>6.8782848843200739E-3</v>
      </c>
    </row>
    <row r="17" spans="1:10" x14ac:dyDescent="0.3">
      <c r="A17" t="s">
        <v>19</v>
      </c>
      <c r="B17" s="3">
        <v>0.60435976532077762</v>
      </c>
      <c r="C17">
        <v>2.9860969688584182</v>
      </c>
      <c r="D17" s="3">
        <v>0.61185709309584124</v>
      </c>
      <c r="E17" s="3">
        <v>3.0503075094022725</v>
      </c>
      <c r="G17">
        <f t="shared" si="0"/>
        <v>2.3817372035376407</v>
      </c>
      <c r="H17">
        <f t="shared" si="1"/>
        <v>2.4384504163064311</v>
      </c>
      <c r="I17">
        <f t="shared" si="2"/>
        <v>7.4973277750636225E-3</v>
      </c>
      <c r="J17">
        <f t="shared" si="3"/>
        <v>6.4210540543854222E-2</v>
      </c>
    </row>
    <row r="18" spans="1:10" x14ac:dyDescent="0.3">
      <c r="A18" t="s">
        <v>20</v>
      </c>
      <c r="B18" s="3">
        <v>0</v>
      </c>
      <c r="C18">
        <v>0</v>
      </c>
      <c r="D18" s="3">
        <v>0</v>
      </c>
      <c r="E18" s="3">
        <v>0</v>
      </c>
      <c r="G18">
        <f t="shared" ref="G18" si="4">B18-C18</f>
        <v>0</v>
      </c>
      <c r="H18">
        <f t="shared" si="1"/>
        <v>0</v>
      </c>
      <c r="I18">
        <f t="shared" si="2"/>
        <v>0</v>
      </c>
      <c r="J18">
        <f t="shared" si="3"/>
        <v>0</v>
      </c>
    </row>
    <row r="19" spans="1:10" x14ac:dyDescent="0.3">
      <c r="G19" s="22" t="s">
        <v>27</v>
      </c>
      <c r="H19" s="22"/>
      <c r="I19" s="22" t="s">
        <v>27</v>
      </c>
      <c r="J19" s="23"/>
    </row>
    <row r="20" spans="1:10" x14ac:dyDescent="0.3">
      <c r="F20" t="s">
        <v>28</v>
      </c>
      <c r="G20">
        <f>AVERAGE(G3:G18)</f>
        <v>1.2929972951952673</v>
      </c>
      <c r="H20">
        <f t="shared" ref="H20:J20" si="5">AVERAGE(H3:H18)</f>
        <v>1.2119196507886398</v>
      </c>
      <c r="I20">
        <f t="shared" si="5"/>
        <v>1.7694315987253403E-2</v>
      </c>
      <c r="J20">
        <f t="shared" si="5"/>
        <v>0.5552667242229794</v>
      </c>
    </row>
    <row r="21" spans="1:10" x14ac:dyDescent="0.3">
      <c r="F21" t="s">
        <v>29</v>
      </c>
      <c r="G21">
        <f>MEDIAN(G3:G18)</f>
        <v>0.99487874178380065</v>
      </c>
      <c r="H21">
        <f t="shared" ref="H21:J21" si="6">MEDIAN(H3:H18)</f>
        <v>1.0383832645668514</v>
      </c>
      <c r="I21">
        <f t="shared" si="6"/>
        <v>1.2331402170212905E-2</v>
      </c>
      <c r="J21">
        <f t="shared" si="6"/>
        <v>0.1204079456050914</v>
      </c>
    </row>
    <row r="22" spans="1:10" x14ac:dyDescent="0.3">
      <c r="F22" t="s">
        <v>30</v>
      </c>
      <c r="G22" cm="1">
        <f t="array" ref="G22">MIN(ABS(G4:G17))</f>
        <v>2.1988762818611451E-2</v>
      </c>
      <c r="H22" cm="1">
        <f t="array" ref="H22">MIN(ABS(H4:H17))</f>
        <v>6.7424302648526613E-3</v>
      </c>
      <c r="I22" cm="1">
        <f t="array" ref="I22">MIN(ABS(I4:I17))</f>
        <v>8.9474602691674843E-4</v>
      </c>
      <c r="J22" cm="1">
        <f t="array" ref="J22">MIN(ABS(J4:J17))</f>
        <v>6.8782848843200739E-3</v>
      </c>
    </row>
    <row r="23" spans="1:10" x14ac:dyDescent="0.3">
      <c r="F23" t="s">
        <v>31</v>
      </c>
      <c r="G23" cm="1">
        <f t="array" ref="G23">MAX(ABS((G3:G18)))</f>
        <v>3.3555213282637091</v>
      </c>
      <c r="H23" cm="1">
        <f t="array" ref="H23">MAX(ABS((H3:H18)))</f>
        <v>3.364202189692064</v>
      </c>
      <c r="I23" cm="1">
        <f t="array" ref="I23">MAX(ABS((I3:I18)))</f>
        <v>0.10394812041662582</v>
      </c>
      <c r="J23" cm="1">
        <f t="array" ref="J23">MAX(ABS((J3:J18)))</f>
        <v>4.6286121155452573</v>
      </c>
    </row>
    <row r="33" spans="1:15" ht="15" thickBot="1" x14ac:dyDescent="0.35"/>
    <row r="34" spans="1:15" ht="125.4" thickBot="1" x14ac:dyDescent="0.35">
      <c r="A34" t="s">
        <v>0</v>
      </c>
      <c r="B34" t="s">
        <v>2</v>
      </c>
      <c r="C34" t="s">
        <v>4</v>
      </c>
      <c r="D34" t="s">
        <v>1</v>
      </c>
      <c r="E34" t="s">
        <v>3</v>
      </c>
      <c r="F34" t="s">
        <v>70</v>
      </c>
      <c r="G34" t="s">
        <v>71</v>
      </c>
      <c r="I34" t="s">
        <v>0</v>
      </c>
      <c r="J34" t="s">
        <v>2</v>
      </c>
      <c r="K34" t="s">
        <v>4</v>
      </c>
      <c r="L34" t="s">
        <v>1</v>
      </c>
      <c r="M34" t="s">
        <v>3</v>
      </c>
      <c r="N34" s="17" t="s">
        <v>83</v>
      </c>
      <c r="O34" s="42" t="s">
        <v>84</v>
      </c>
    </row>
    <row r="35" spans="1:15" x14ac:dyDescent="0.3">
      <c r="A35" t="s">
        <v>5</v>
      </c>
      <c r="B35">
        <v>0</v>
      </c>
      <c r="C35" s="3">
        <v>0</v>
      </c>
      <c r="D35" s="3">
        <v>0</v>
      </c>
      <c r="E35" s="3">
        <v>0</v>
      </c>
      <c r="F35" s="16">
        <f>(B35-C35)^2</f>
        <v>0</v>
      </c>
      <c r="G35" s="16">
        <f>(D35-E35)^2</f>
        <v>0</v>
      </c>
      <c r="I35" t="s">
        <v>5</v>
      </c>
      <c r="J35">
        <v>0</v>
      </c>
      <c r="K35" s="3">
        <v>0</v>
      </c>
      <c r="L35" s="3">
        <v>0</v>
      </c>
      <c r="M35" s="3">
        <v>0</v>
      </c>
      <c r="N35" s="13">
        <f>ABS(J35-K35)</f>
        <v>0</v>
      </c>
      <c r="O35" s="13">
        <f>ABS(L35-M35)</f>
        <v>0</v>
      </c>
    </row>
    <row r="36" spans="1:15" x14ac:dyDescent="0.3">
      <c r="A36" t="s">
        <v>6</v>
      </c>
      <c r="B36" s="12">
        <v>0.25969082648775677</v>
      </c>
      <c r="C36" s="15">
        <v>0.1494110628458015</v>
      </c>
      <c r="D36" s="15">
        <v>0.58550612161551696</v>
      </c>
      <c r="E36" s="15">
        <v>0.57064234194706498</v>
      </c>
      <c r="F36" s="12">
        <f t="shared" ref="F36:F50" si="7">(B36-C36)^2</f>
        <v>1.2161626268925519E-2</v>
      </c>
      <c r="G36" s="13">
        <f t="shared" ref="G36:G50" si="8">(D36-E36)^2</f>
        <v>2.209319460322865E-4</v>
      </c>
      <c r="I36" t="s">
        <v>6</v>
      </c>
      <c r="J36" s="12">
        <v>0.25969082648775677</v>
      </c>
      <c r="K36" s="15">
        <v>0.1494110628458015</v>
      </c>
      <c r="L36" s="15">
        <v>0.58550612161551696</v>
      </c>
      <c r="M36" s="15">
        <v>0.57064234194706498</v>
      </c>
      <c r="N36" s="13">
        <f t="shared" ref="N36:N50" si="9">ABS(J36-K36)</f>
        <v>0.11027976364195527</v>
      </c>
      <c r="O36" s="13">
        <f t="shared" ref="O36:O50" si="10">ABS(L36-M36)</f>
        <v>1.4863779668451982E-2</v>
      </c>
    </row>
    <row r="37" spans="1:15" x14ac:dyDescent="0.3">
      <c r="A37" t="s">
        <v>7</v>
      </c>
      <c r="B37" s="12">
        <v>4.5172932657967522</v>
      </c>
      <c r="C37" s="15">
        <v>-0.11131884974850499</v>
      </c>
      <c r="D37" s="15">
        <v>1.1617719375330431</v>
      </c>
      <c r="E37" s="15">
        <v>1.1290153609601821</v>
      </c>
      <c r="F37" s="12">
        <f t="shared" si="7"/>
        <v>21.424050116172342</v>
      </c>
      <c r="G37" s="13">
        <f t="shared" si="8"/>
        <v>1.0729933087737073E-3</v>
      </c>
      <c r="I37" t="s">
        <v>7</v>
      </c>
      <c r="J37" s="12">
        <v>4.5172932657967522</v>
      </c>
      <c r="K37" s="15">
        <v>-0.11131884974850499</v>
      </c>
      <c r="L37" s="15">
        <v>1.1617719375330431</v>
      </c>
      <c r="M37" s="15">
        <v>1.1290153609601821</v>
      </c>
      <c r="N37" s="13">
        <f t="shared" si="9"/>
        <v>4.6286121155452573</v>
      </c>
      <c r="O37" s="13">
        <f t="shared" si="10"/>
        <v>3.2756576572861018E-2</v>
      </c>
    </row>
    <row r="38" spans="1:15" x14ac:dyDescent="0.3">
      <c r="A38" t="s">
        <v>8</v>
      </c>
      <c r="B38" s="12">
        <v>1.3601839297752463</v>
      </c>
      <c r="C38" s="15">
        <v>1.2858158970584845</v>
      </c>
      <c r="D38" s="15">
        <v>0.45267589478788578</v>
      </c>
      <c r="E38" s="15">
        <v>0.45357064081480253</v>
      </c>
      <c r="F38" s="13">
        <f t="shared" si="7"/>
        <v>5.5306042901613435E-3</v>
      </c>
      <c r="G38" s="13">
        <f t="shared" si="8"/>
        <v>8.0057045268330675E-7</v>
      </c>
      <c r="I38" t="s">
        <v>8</v>
      </c>
      <c r="J38" s="12">
        <v>1.3601839297752463</v>
      </c>
      <c r="K38" s="15">
        <v>1.2858158970584845</v>
      </c>
      <c r="L38" s="15">
        <v>0.45267589478788578</v>
      </c>
      <c r="M38" s="15">
        <v>0.45357064081480253</v>
      </c>
      <c r="N38" s="13">
        <f t="shared" si="9"/>
        <v>7.4368032716761734E-2</v>
      </c>
      <c r="O38" s="13">
        <f t="shared" si="10"/>
        <v>8.9474602691674843E-4</v>
      </c>
    </row>
    <row r="39" spans="1:15" x14ac:dyDescent="0.3">
      <c r="A39" t="s">
        <v>9</v>
      </c>
      <c r="B39" s="12">
        <v>0.76613695065392151</v>
      </c>
      <c r="C39" s="15">
        <v>0.48094729660902102</v>
      </c>
      <c r="D39" s="15">
        <v>0.45551893074677169</v>
      </c>
      <c r="E39" s="15">
        <v>0.46783622089839999</v>
      </c>
      <c r="F39" s="12">
        <f t="shared" si="7"/>
        <v>8.1333138774250024E-2</v>
      </c>
      <c r="G39" s="13">
        <f t="shared" si="8"/>
        <v>1.5171563667939954E-4</v>
      </c>
      <c r="I39" t="s">
        <v>9</v>
      </c>
      <c r="J39" s="12">
        <v>0.76613695065392151</v>
      </c>
      <c r="K39" s="15">
        <v>0.48094729660902102</v>
      </c>
      <c r="L39" s="15">
        <v>0.45551893074677169</v>
      </c>
      <c r="M39" s="15">
        <v>0.46783622089839999</v>
      </c>
      <c r="N39" s="13">
        <f t="shared" si="9"/>
        <v>0.28518965404490049</v>
      </c>
      <c r="O39" s="13">
        <f t="shared" si="10"/>
        <v>1.2317290151628302E-2</v>
      </c>
    </row>
    <row r="40" spans="1:15" x14ac:dyDescent="0.3">
      <c r="A40" t="s">
        <v>10</v>
      </c>
      <c r="B40" s="12">
        <v>2.7003991992948202</v>
      </c>
      <c r="C40" s="15">
        <v>3.7455663245968287</v>
      </c>
      <c r="D40" s="15">
        <v>0.40776973206339889</v>
      </c>
      <c r="E40" s="15">
        <v>0.3813641349047649</v>
      </c>
      <c r="F40" s="12">
        <f t="shared" si="7"/>
        <v>1.0923743198120643</v>
      </c>
      <c r="G40" s="13">
        <f t="shared" si="8"/>
        <v>6.972555613040599E-4</v>
      </c>
      <c r="I40" t="s">
        <v>10</v>
      </c>
      <c r="J40" s="12">
        <v>2.7003991992948202</v>
      </c>
      <c r="K40" s="15">
        <v>3.7455663245968287</v>
      </c>
      <c r="L40" s="15">
        <v>0.40776973206339889</v>
      </c>
      <c r="M40" s="15">
        <v>0.3813641349047649</v>
      </c>
      <c r="N40" s="13">
        <f t="shared" si="9"/>
        <v>1.0451671253020085</v>
      </c>
      <c r="O40" s="13">
        <f t="shared" si="10"/>
        <v>2.6405597158633998E-2</v>
      </c>
    </row>
    <row r="41" spans="1:15" x14ac:dyDescent="0.3">
      <c r="A41" t="s">
        <v>11</v>
      </c>
      <c r="B41" s="12">
        <v>2.4220314046117526</v>
      </c>
      <c r="C41" s="15">
        <v>2.3435239795730016</v>
      </c>
      <c r="D41" s="15">
        <v>0.65725345157986881</v>
      </c>
      <c r="E41" s="15">
        <v>0.63611976806750448</v>
      </c>
      <c r="F41" s="13">
        <f t="shared" si="7"/>
        <v>6.1634157862151019E-3</v>
      </c>
      <c r="G41" s="13">
        <f t="shared" si="8"/>
        <v>4.4663257880078001E-4</v>
      </c>
      <c r="I41" t="s">
        <v>11</v>
      </c>
      <c r="J41" s="12">
        <v>2.4220314046117526</v>
      </c>
      <c r="K41" s="15">
        <v>2.3435239795730016</v>
      </c>
      <c r="L41" s="15">
        <v>0.65725345157986881</v>
      </c>
      <c r="M41" s="15">
        <v>0.63611976806750448</v>
      </c>
      <c r="N41" s="13">
        <f t="shared" si="9"/>
        <v>7.8507425038750966E-2</v>
      </c>
      <c r="O41" s="13">
        <f t="shared" si="10"/>
        <v>2.1133683512364332E-2</v>
      </c>
    </row>
    <row r="42" spans="1:15" x14ac:dyDescent="0.3">
      <c r="A42" t="s">
        <v>12</v>
      </c>
      <c r="B42" s="12">
        <v>1.3442466203917958</v>
      </c>
      <c r="C42" s="15">
        <v>1.2860671539274922</v>
      </c>
      <c r="D42" s="15">
        <v>0.36378934552103126</v>
      </c>
      <c r="E42" s="15">
        <v>0.36148247524765098</v>
      </c>
      <c r="F42" s="13">
        <f t="shared" si="7"/>
        <v>3.3848503180710283E-3</v>
      </c>
      <c r="G42" s="13">
        <f t="shared" si="8"/>
        <v>5.3216504582056044E-6</v>
      </c>
      <c r="I42" t="s">
        <v>12</v>
      </c>
      <c r="J42" s="12">
        <v>1.3442466203917958</v>
      </c>
      <c r="K42" s="15">
        <v>1.2860671539274922</v>
      </c>
      <c r="L42" s="15">
        <v>0.36378934552103126</v>
      </c>
      <c r="M42" s="15">
        <v>0.36148247524765098</v>
      </c>
      <c r="N42" s="13">
        <f t="shared" si="9"/>
        <v>5.8179466464303609E-2</v>
      </c>
      <c r="O42" s="13">
        <f t="shared" si="10"/>
        <v>2.3068702733802793E-3</v>
      </c>
    </row>
    <row r="43" spans="1:15" x14ac:dyDescent="0.3">
      <c r="A43" t="s">
        <v>13</v>
      </c>
      <c r="B43" s="12">
        <v>-1.7463821324944699</v>
      </c>
      <c r="C43" s="15">
        <v>-2.256070397526281</v>
      </c>
      <c r="D43" s="15">
        <v>0.51319432451186719</v>
      </c>
      <c r="E43" s="15">
        <v>0.52769648162298632</v>
      </c>
      <c r="F43" s="12">
        <f t="shared" si="7"/>
        <v>0.25978212751113772</v>
      </c>
      <c r="G43" s="13">
        <f t="shared" si="8"/>
        <v>2.1031256087558313E-4</v>
      </c>
      <c r="I43" t="s">
        <v>13</v>
      </c>
      <c r="J43" s="12">
        <v>-1.7463821324944699</v>
      </c>
      <c r="K43" s="15">
        <v>-2.256070397526281</v>
      </c>
      <c r="L43" s="15">
        <v>0.51319432451186719</v>
      </c>
      <c r="M43" s="15">
        <v>0.52769648162298632</v>
      </c>
      <c r="N43" s="13">
        <f t="shared" si="9"/>
        <v>0.50968826503181108</v>
      </c>
      <c r="O43" s="13">
        <f t="shared" si="10"/>
        <v>1.4502157111119129E-2</v>
      </c>
    </row>
    <row r="44" spans="1:15" x14ac:dyDescent="0.3">
      <c r="A44" t="s">
        <v>14</v>
      </c>
      <c r="B44" s="12">
        <v>1.3118099027545977</v>
      </c>
      <c r="C44" s="15">
        <v>0.52141387327468813</v>
      </c>
      <c r="D44" s="15">
        <v>0.61861956342646129</v>
      </c>
      <c r="E44" s="15">
        <v>0.51467144300983547</v>
      </c>
      <c r="F44" s="12">
        <f t="shared" si="7"/>
        <v>0.62472588341760615</v>
      </c>
      <c r="G44" s="12">
        <f t="shared" si="8"/>
        <v>1.0805211738149342E-2</v>
      </c>
      <c r="I44" t="s">
        <v>14</v>
      </c>
      <c r="J44" s="12">
        <v>1.3118099027545977</v>
      </c>
      <c r="K44" s="15">
        <v>0.52141387327468813</v>
      </c>
      <c r="L44" s="15">
        <v>0.61861956342646129</v>
      </c>
      <c r="M44" s="15">
        <v>0.51467144300983547</v>
      </c>
      <c r="N44" s="13">
        <f t="shared" si="9"/>
        <v>0.79039602947990961</v>
      </c>
      <c r="O44" s="13">
        <f t="shared" si="10"/>
        <v>0.10394812041662582</v>
      </c>
    </row>
    <row r="45" spans="1:15" x14ac:dyDescent="0.3">
      <c r="A45" t="s">
        <v>15</v>
      </c>
      <c r="B45" s="12">
        <v>0.8992056573891074</v>
      </c>
      <c r="C45" s="15">
        <v>1.4976938623824418</v>
      </c>
      <c r="D45" s="15">
        <v>-0.23085034522082898</v>
      </c>
      <c r="E45" s="15">
        <v>-0.21279907680148114</v>
      </c>
      <c r="F45" s="12">
        <f t="shared" si="7"/>
        <v>0.35818813151614348</v>
      </c>
      <c r="G45" s="13">
        <f t="shared" si="8"/>
        <v>3.2584829154734481E-4</v>
      </c>
      <c r="I45" t="s">
        <v>15</v>
      </c>
      <c r="J45" s="12">
        <v>0.8992056573891074</v>
      </c>
      <c r="K45" s="15">
        <v>1.4976938623824418</v>
      </c>
      <c r="L45" s="15">
        <v>-0.23085034522082898</v>
      </c>
      <c r="M45" s="15">
        <v>-0.21279907680148114</v>
      </c>
      <c r="N45" s="13">
        <f t="shared" si="9"/>
        <v>0.59848820499333444</v>
      </c>
      <c r="O45" s="13">
        <f t="shared" si="10"/>
        <v>1.8051268419347843E-2</v>
      </c>
    </row>
    <row r="46" spans="1:15" x14ac:dyDescent="0.3">
      <c r="A46" t="s">
        <v>16</v>
      </c>
      <c r="B46" s="12">
        <v>1.2436923942735418</v>
      </c>
      <c r="C46" s="15">
        <v>1.3742285218417694</v>
      </c>
      <c r="D46" s="15">
        <v>0.23439218557670516</v>
      </c>
      <c r="E46" s="15">
        <v>0.22204667138790765</v>
      </c>
      <c r="F46" s="12">
        <f t="shared" si="7"/>
        <v>1.7039680600508568E-2</v>
      </c>
      <c r="G46" s="13">
        <f t="shared" si="8"/>
        <v>1.5241172058580058E-4</v>
      </c>
      <c r="I46" t="s">
        <v>16</v>
      </c>
      <c r="J46" s="12">
        <v>1.2436923942735418</v>
      </c>
      <c r="K46" s="15">
        <v>1.3742285218417694</v>
      </c>
      <c r="L46" s="15">
        <v>0.23439218557670516</v>
      </c>
      <c r="M46" s="15">
        <v>0.22204667138790765</v>
      </c>
      <c r="N46" s="13">
        <f t="shared" si="9"/>
        <v>0.13053612756822752</v>
      </c>
      <c r="O46" s="13">
        <f t="shared" si="10"/>
        <v>1.2345514188797507E-2</v>
      </c>
    </row>
    <row r="47" spans="1:15" x14ac:dyDescent="0.3">
      <c r="A47" t="s">
        <v>17</v>
      </c>
      <c r="B47" s="12">
        <v>-3.3894037043716021</v>
      </c>
      <c r="C47" s="15">
        <v>-2.8856371520593274</v>
      </c>
      <c r="D47" s="15">
        <v>-0.13462332866487314</v>
      </c>
      <c r="E47" s="15">
        <v>-0.1292952253852086</v>
      </c>
      <c r="F47" s="12">
        <f t="shared" si="7"/>
        <v>0.25378073922859584</v>
      </c>
      <c r="G47" s="13">
        <f t="shared" si="8"/>
        <v>2.8388684558772051E-5</v>
      </c>
      <c r="I47" t="s">
        <v>17</v>
      </c>
      <c r="J47" s="12">
        <v>-3.3894037043716021</v>
      </c>
      <c r="K47" s="15">
        <v>-2.8856371520593274</v>
      </c>
      <c r="L47" s="15">
        <v>-0.13462332866487314</v>
      </c>
      <c r="M47" s="15">
        <v>-0.1292952253852086</v>
      </c>
      <c r="N47" s="13">
        <f t="shared" si="9"/>
        <v>0.50376655231227474</v>
      </c>
      <c r="O47" s="13">
        <f t="shared" si="10"/>
        <v>5.3281032796645422E-3</v>
      </c>
    </row>
    <row r="48" spans="1:15" x14ac:dyDescent="0.3">
      <c r="A48" t="s">
        <v>18</v>
      </c>
      <c r="B48" s="12">
        <v>0.3095724515287247</v>
      </c>
      <c r="C48" s="15">
        <v>0.31645073641304478</v>
      </c>
      <c r="D48" s="15">
        <v>0.28758368871011325</v>
      </c>
      <c r="E48" s="15">
        <v>0.27682566746891396</v>
      </c>
      <c r="F48" s="13">
        <f t="shared" si="7"/>
        <v>4.7310802949866013E-5</v>
      </c>
      <c r="G48" s="13">
        <f t="shared" si="8"/>
        <v>1.1573502102609509E-4</v>
      </c>
      <c r="I48" t="s">
        <v>18</v>
      </c>
      <c r="J48" s="12">
        <v>0.3095724515287247</v>
      </c>
      <c r="K48" s="15">
        <v>0.31645073641304478</v>
      </c>
      <c r="L48" s="15">
        <v>0.28758368871011325</v>
      </c>
      <c r="M48" s="15">
        <v>0.27682566746891396</v>
      </c>
      <c r="N48" s="13">
        <f t="shared" si="9"/>
        <v>6.8782848843200739E-3</v>
      </c>
      <c r="O48" s="13">
        <f t="shared" si="10"/>
        <v>1.0758021241199289E-2</v>
      </c>
    </row>
    <row r="49" spans="1:15" x14ac:dyDescent="0.3">
      <c r="A49" t="s">
        <v>19</v>
      </c>
      <c r="B49" s="12">
        <v>2.9860969688584182</v>
      </c>
      <c r="C49" s="15">
        <v>3.0503075094022725</v>
      </c>
      <c r="D49" s="15">
        <v>0.60435976532077762</v>
      </c>
      <c r="E49" s="15">
        <v>0.61185709309584124</v>
      </c>
      <c r="F49" s="13">
        <f t="shared" si="7"/>
        <v>4.1229935169339472E-3</v>
      </c>
      <c r="G49" s="13">
        <f t="shared" si="8"/>
        <v>5.6209923766740446E-5</v>
      </c>
      <c r="I49" t="s">
        <v>19</v>
      </c>
      <c r="J49" s="12">
        <v>2.9860969688584182</v>
      </c>
      <c r="K49" s="15">
        <v>3.0503075094022725</v>
      </c>
      <c r="L49" s="15">
        <v>0.60435976532077762</v>
      </c>
      <c r="M49" s="15">
        <v>0.61185709309584124</v>
      </c>
      <c r="N49" s="13">
        <f t="shared" si="9"/>
        <v>6.4210540543854222E-2</v>
      </c>
      <c r="O49" s="13">
        <f t="shared" si="10"/>
        <v>7.4973277750636225E-3</v>
      </c>
    </row>
    <row r="50" spans="1:15" x14ac:dyDescent="0.3">
      <c r="A50" t="s">
        <v>20</v>
      </c>
      <c r="B50">
        <v>0</v>
      </c>
      <c r="C50" s="3">
        <v>0</v>
      </c>
      <c r="D50" s="3">
        <v>0</v>
      </c>
      <c r="E50" s="3">
        <v>0</v>
      </c>
      <c r="F50" s="16">
        <f t="shared" si="7"/>
        <v>0</v>
      </c>
      <c r="G50" s="16">
        <f t="shared" si="8"/>
        <v>0</v>
      </c>
      <c r="I50" t="s">
        <v>20</v>
      </c>
      <c r="J50">
        <v>0</v>
      </c>
      <c r="K50" s="3">
        <v>0</v>
      </c>
      <c r="L50" s="3">
        <v>0</v>
      </c>
      <c r="M50" s="3">
        <v>0</v>
      </c>
      <c r="N50" s="13">
        <f t="shared" si="9"/>
        <v>0</v>
      </c>
      <c r="O50" s="13">
        <f t="shared" si="10"/>
        <v>0</v>
      </c>
    </row>
    <row r="51" spans="1:15" x14ac:dyDescent="0.3">
      <c r="M51" t="s">
        <v>92</v>
      </c>
      <c r="N51" s="13">
        <f>AVERAGE(N35:N50)</f>
        <v>0.5552667242229794</v>
      </c>
      <c r="O51" s="13">
        <f>AVERAGE(O35:O50)</f>
        <v>1.7694315987253403E-2</v>
      </c>
    </row>
    <row r="52" spans="1:15" x14ac:dyDescent="0.3">
      <c r="F52" s="12">
        <f>AVERAGE(F35:F50)</f>
        <v>1.508917808625994</v>
      </c>
      <c r="G52" s="12">
        <f>AVERAGE(G35:G50)</f>
        <v>8.9311057456317494E-4</v>
      </c>
      <c r="M52" t="s">
        <v>82</v>
      </c>
      <c r="N52">
        <f>STDEV(N35:N50)</f>
        <v>1.1316520895736701</v>
      </c>
      <c r="O52">
        <f>STDEV(O35:O50)</f>
        <v>2.4873477308038319E-2</v>
      </c>
    </row>
    <row r="53" spans="1:15" x14ac:dyDescent="0.3">
      <c r="F53" s="12">
        <f>SUM(F35:F50)</f>
        <v>24.142684938015904</v>
      </c>
      <c r="G53" s="12">
        <f>SUM(G35:G50)</f>
        <v>1.4289769193010799E-2</v>
      </c>
      <c r="M53" t="s">
        <v>93</v>
      </c>
      <c r="N53" s="13">
        <f>MIN(N35:N50)</f>
        <v>0</v>
      </c>
      <c r="O53" s="13">
        <f>MIN(O35:O50)</f>
        <v>0</v>
      </c>
    </row>
    <row r="54" spans="1:15" x14ac:dyDescent="0.3">
      <c r="F54">
        <f>STDEV(F35:F50)</f>
        <v>5.3192198722326038</v>
      </c>
      <c r="G54">
        <f>STDEV(G35:G50)</f>
        <v>2.6594494762866802E-3</v>
      </c>
      <c r="M54" t="s">
        <v>94</v>
      </c>
      <c r="N54" s="13">
        <f>MAX(N35:N50)</f>
        <v>4.6286121155452573</v>
      </c>
      <c r="O54" s="13">
        <f>MAX(O35:O50)</f>
        <v>0.10394812041662582</v>
      </c>
    </row>
    <row r="71" spans="3:8" ht="15" thickBot="1" x14ac:dyDescent="0.35"/>
    <row r="72" spans="3:8" ht="16.2" thickBot="1" x14ac:dyDescent="0.35">
      <c r="C72" s="17" t="s">
        <v>6</v>
      </c>
      <c r="D72" s="20">
        <v>0.89850744000000005</v>
      </c>
      <c r="E72" s="20">
        <v>0.60036895000000001</v>
      </c>
      <c r="F72" s="20">
        <v>0.67337399600000003</v>
      </c>
      <c r="G72" s="20">
        <v>8.8900000000000007E-2</v>
      </c>
      <c r="H72" s="20">
        <v>5.0700000000000002E-2</v>
      </c>
    </row>
    <row r="73" spans="3:8" ht="16.2" thickBot="1" x14ac:dyDescent="0.35">
      <c r="C73" s="18" t="s">
        <v>9</v>
      </c>
      <c r="D73" s="21">
        <v>2.5822561639999999</v>
      </c>
      <c r="E73" s="21">
        <v>-1.772908181</v>
      </c>
      <c r="F73" s="21">
        <v>2.5578204449999999</v>
      </c>
      <c r="G73" s="21">
        <v>18.967500000000001</v>
      </c>
      <c r="H73" s="21">
        <v>5.9999999999999995E-4</v>
      </c>
    </row>
    <row r="74" spans="3:8" ht="16.2" thickBot="1" x14ac:dyDescent="0.35">
      <c r="C74" s="18" t="s">
        <v>10</v>
      </c>
      <c r="D74" s="21">
        <v>-0.47809974300000002</v>
      </c>
      <c r="E74" s="21">
        <v>2.3614657330000002</v>
      </c>
      <c r="F74" s="21">
        <v>2.2835208319999998</v>
      </c>
      <c r="G74" s="21">
        <v>8.0631000000000004</v>
      </c>
      <c r="H74" s="21">
        <v>7.6265000000000001</v>
      </c>
    </row>
    <row r="75" spans="3:8" ht="16.2" thickBot="1" x14ac:dyDescent="0.35">
      <c r="C75" s="18" t="s">
        <v>72</v>
      </c>
      <c r="D75" s="19">
        <v>0</v>
      </c>
      <c r="E75" s="19">
        <v>0</v>
      </c>
      <c r="F75" s="19">
        <v>0</v>
      </c>
      <c r="G75" s="19">
        <v>0</v>
      </c>
      <c r="H75" s="19">
        <v>0</v>
      </c>
    </row>
    <row r="76" spans="3:8" ht="16.2" thickBot="1" x14ac:dyDescent="0.35">
      <c r="C76" s="18" t="s">
        <v>12</v>
      </c>
      <c r="D76" s="21">
        <v>0.69387484700000002</v>
      </c>
      <c r="E76" s="21">
        <v>0.82059570100000001</v>
      </c>
      <c r="F76" s="21">
        <v>0.63026782100000001</v>
      </c>
      <c r="G76" s="21">
        <v>1.61E-2</v>
      </c>
      <c r="H76" s="21">
        <v>4.0000000000000001E-3</v>
      </c>
    </row>
    <row r="77" spans="3:8" ht="16.2" thickBot="1" x14ac:dyDescent="0.35">
      <c r="C77" s="18" t="s">
        <v>13</v>
      </c>
      <c r="D77" s="21">
        <v>3.611196665</v>
      </c>
      <c r="E77" s="21">
        <v>0.76283655399999994</v>
      </c>
      <c r="F77" s="21">
        <v>0.58983843599999997</v>
      </c>
      <c r="G77" s="21">
        <v>8.1132000000000009</v>
      </c>
      <c r="H77" s="21">
        <v>9.1286000000000005</v>
      </c>
    </row>
    <row r="78" spans="3:8" ht="16.2" thickBot="1" x14ac:dyDescent="0.35">
      <c r="C78" s="18" t="s">
        <v>14</v>
      </c>
      <c r="D78" s="21">
        <v>1.6462420090000001</v>
      </c>
      <c r="E78" s="21">
        <v>0.96757083399999999</v>
      </c>
      <c r="F78" s="21">
        <v>1.2838712699999999</v>
      </c>
      <c r="G78" s="21">
        <v>0.46060000000000001</v>
      </c>
      <c r="H78" s="21">
        <v>0.1313</v>
      </c>
    </row>
    <row r="79" spans="3:8" ht="16.2" thickBot="1" x14ac:dyDescent="0.35">
      <c r="C79" s="18" t="s">
        <v>15</v>
      </c>
      <c r="D79" s="21">
        <v>-1.461490951</v>
      </c>
      <c r="E79" s="21">
        <v>4.8043351779999997</v>
      </c>
      <c r="F79" s="21">
        <v>4.6890527420000003</v>
      </c>
      <c r="G79" s="21">
        <v>39.260599999999997</v>
      </c>
      <c r="H79" s="21">
        <v>37.8292</v>
      </c>
    </row>
    <row r="80" spans="3:8" ht="16.2" thickBot="1" x14ac:dyDescent="0.35">
      <c r="C80" s="18" t="s">
        <v>16</v>
      </c>
      <c r="D80" s="21">
        <v>-0.29390942799999997</v>
      </c>
      <c r="E80" s="21">
        <v>1.0499761030000001</v>
      </c>
      <c r="F80" s="21">
        <v>-0.51327122999999997</v>
      </c>
      <c r="G80" s="21">
        <v>1.806</v>
      </c>
      <c r="H80" s="21">
        <v>4.8099999999999997E-2</v>
      </c>
    </row>
    <row r="81" spans="3:8" ht="16.2" thickBot="1" x14ac:dyDescent="0.35">
      <c r="C81" s="18" t="s">
        <v>73</v>
      </c>
      <c r="D81" s="21">
        <v>-1.5957182620000001</v>
      </c>
      <c r="E81" s="21">
        <v>0.572047525</v>
      </c>
      <c r="F81" s="21">
        <v>0.64940401800000003</v>
      </c>
      <c r="G81" s="21">
        <v>4.6992000000000003</v>
      </c>
      <c r="H81" s="21">
        <v>5.0406000000000004</v>
      </c>
    </row>
    <row r="82" spans="3:8" ht="16.2" thickBot="1" x14ac:dyDescent="0.35">
      <c r="C82" s="18" t="s">
        <v>17</v>
      </c>
      <c r="D82" s="21">
        <v>-0.90186533300000005</v>
      </c>
      <c r="E82" s="21">
        <v>0.335382391</v>
      </c>
      <c r="F82" s="21">
        <v>-1.0784049E-2</v>
      </c>
      <c r="G82" s="21">
        <v>1.5307999999999999</v>
      </c>
      <c r="H82" s="21">
        <v>0.79400000000000004</v>
      </c>
    </row>
    <row r="83" spans="3:8" ht="16.2" thickBot="1" x14ac:dyDescent="0.35">
      <c r="C83" s="18" t="s">
        <v>74</v>
      </c>
      <c r="D83" s="21">
        <v>-1.784410872</v>
      </c>
      <c r="E83" s="21">
        <v>-0.59023284399999998</v>
      </c>
      <c r="F83" s="21">
        <v>-0.45677226500000001</v>
      </c>
      <c r="G83" s="21">
        <v>1.4260999999999999</v>
      </c>
      <c r="H83" s="21">
        <v>1.7625999999999999</v>
      </c>
    </row>
    <row r="84" spans="3:8" ht="16.2" thickBot="1" x14ac:dyDescent="0.35">
      <c r="C84" s="18" t="s">
        <v>18</v>
      </c>
      <c r="D84" s="21">
        <v>-0.31354776000000001</v>
      </c>
      <c r="E84" s="21">
        <v>2.2863793480000001</v>
      </c>
      <c r="F84" s="21">
        <v>-0.57350573900000001</v>
      </c>
      <c r="G84" s="21">
        <v>6.7595999999999998</v>
      </c>
      <c r="H84" s="21">
        <v>6.7599999999999993E-2</v>
      </c>
    </row>
    <row r="85" spans="3:8" ht="16.2" thickBot="1" x14ac:dyDescent="0.35">
      <c r="C85" s="18" t="s">
        <v>19</v>
      </c>
      <c r="D85" s="21">
        <v>-0.44773411000000002</v>
      </c>
      <c r="E85" s="21">
        <v>2.0754773979999999</v>
      </c>
      <c r="F85" s="21">
        <v>1.5841158900000001</v>
      </c>
      <c r="G85" s="21">
        <v>6.3666</v>
      </c>
      <c r="H85" s="21">
        <v>4.1284000000000001</v>
      </c>
    </row>
    <row r="86" spans="3:8" ht="16.2" thickBot="1" x14ac:dyDescent="0.35">
      <c r="C86" s="18" t="s">
        <v>20</v>
      </c>
      <c r="D86" s="19">
        <v>0</v>
      </c>
      <c r="E86" s="19">
        <v>0</v>
      </c>
      <c r="F86" s="19">
        <v>0</v>
      </c>
      <c r="G86" s="19">
        <v>0</v>
      </c>
      <c r="H86" s="19">
        <v>0</v>
      </c>
    </row>
  </sheetData>
  <mergeCells count="5">
    <mergeCell ref="A1:E1"/>
    <mergeCell ref="G1:H1"/>
    <mergeCell ref="I1:J1"/>
    <mergeCell ref="G19:H19"/>
    <mergeCell ref="I19:J19"/>
  </mergeCells>
  <conditionalFormatting sqref="G3:G18">
    <cfRule type="colorScale" priority="5">
      <colorScale>
        <cfvo type="min"/>
        <cfvo type="max"/>
        <color theme="0"/>
        <color theme="5" tint="0.79998168889431442"/>
      </colorScale>
    </cfRule>
  </conditionalFormatting>
  <conditionalFormatting sqref="H3:H18">
    <cfRule type="colorScale" priority="4">
      <colorScale>
        <cfvo type="min"/>
        <cfvo type="max"/>
        <color theme="0"/>
        <color theme="5" tint="0.79998168889431442"/>
      </colorScale>
    </cfRule>
  </conditionalFormatting>
  <conditionalFormatting sqref="I3:I18">
    <cfRule type="colorScale" priority="3">
      <colorScale>
        <cfvo type="min"/>
        <cfvo type="max"/>
        <color theme="0"/>
        <color theme="5" tint="0.79998168889431442"/>
      </colorScale>
    </cfRule>
  </conditionalFormatting>
  <conditionalFormatting sqref="J3:J18">
    <cfRule type="colorScale" priority="2">
      <colorScale>
        <cfvo type="min"/>
        <cfvo type="max"/>
        <color theme="0"/>
        <color theme="5" tint="0.79998168889431442"/>
      </colorScale>
    </cfRule>
  </conditionalFormatting>
  <conditionalFormatting sqref="N35:O50">
    <cfRule type="colorScale" priority="1">
      <colorScale>
        <cfvo type="min"/>
        <cfvo type="max"/>
        <color theme="0"/>
        <color theme="9" tint="-0.249977111117893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906F-1F88-43EF-9A2D-D9A3440087B5}">
  <dimension ref="A1:AI222"/>
  <sheetViews>
    <sheetView tabSelected="1" topLeftCell="A141" zoomScaleNormal="80" workbookViewId="0">
      <selection activeCell="X146" sqref="X146"/>
    </sheetView>
  </sheetViews>
  <sheetFormatPr defaultRowHeight="14.4" x14ac:dyDescent="0.3"/>
  <cols>
    <col min="2" max="2" width="9" bestFit="1" customWidth="1"/>
    <col min="3" max="6" width="9.109375" bestFit="1" customWidth="1"/>
    <col min="7" max="7" width="12" bestFit="1" customWidth="1"/>
    <col min="8" max="9" width="9.109375" bestFit="1" customWidth="1"/>
    <col min="10" max="10" width="8.88671875" customWidth="1"/>
    <col min="11" max="11" width="13" bestFit="1" customWidth="1"/>
    <col min="12" max="17" width="9" bestFit="1" customWidth="1"/>
    <col min="20" max="35" width="9" bestFit="1" customWidth="1"/>
  </cols>
  <sheetData>
    <row r="1" spans="1:35" x14ac:dyDescent="0.3">
      <c r="A1" s="22" t="s">
        <v>34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S1" s="22" t="s">
        <v>33</v>
      </c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</row>
    <row r="2" spans="1:35" x14ac:dyDescent="0.3">
      <c r="A2" s="1" t="s">
        <v>32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18</v>
      </c>
      <c r="P2" s="1" t="s">
        <v>19</v>
      </c>
      <c r="Q2" s="1" t="s">
        <v>20</v>
      </c>
      <c r="S2" t="s">
        <v>32</v>
      </c>
      <c r="T2" t="s">
        <v>5</v>
      </c>
      <c r="U2" t="s">
        <v>6</v>
      </c>
      <c r="V2" t="s">
        <v>7</v>
      </c>
      <c r="W2" t="s">
        <v>8</v>
      </c>
      <c r="X2" t="s">
        <v>9</v>
      </c>
      <c r="Y2" t="s">
        <v>10</v>
      </c>
      <c r="Z2" t="s">
        <v>11</v>
      </c>
      <c r="AA2" t="s">
        <v>12</v>
      </c>
      <c r="AB2" t="s">
        <v>13</v>
      </c>
      <c r="AC2" t="s">
        <v>14</v>
      </c>
      <c r="AD2" t="s">
        <v>15</v>
      </c>
      <c r="AE2" t="s">
        <v>16</v>
      </c>
      <c r="AF2" t="s">
        <v>17</v>
      </c>
      <c r="AG2" t="s">
        <v>18</v>
      </c>
      <c r="AH2" t="s">
        <v>19</v>
      </c>
      <c r="AI2" t="s">
        <v>20</v>
      </c>
    </row>
    <row r="3" spans="1:35" x14ac:dyDescent="0.3">
      <c r="A3" s="1" t="s">
        <v>5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S3" t="s">
        <v>5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</row>
    <row r="4" spans="1:35" x14ac:dyDescent="0.3">
      <c r="A4" s="1" t="s">
        <v>6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0.93492094827977268</v>
      </c>
      <c r="S4" t="s">
        <v>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1.2253125500026241</v>
      </c>
    </row>
    <row r="5" spans="1:35" x14ac:dyDescent="0.3">
      <c r="A5" s="1" t="s">
        <v>7</v>
      </c>
      <c r="B5" s="1">
        <v>0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1.2485701249758925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S5" t="s">
        <v>7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5.9430089196082232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35" x14ac:dyDescent="0.3">
      <c r="A6" s="1" t="s">
        <v>8</v>
      </c>
      <c r="B6" s="1">
        <v>1.0155227417600328</v>
      </c>
      <c r="C6" s="1">
        <v>0</v>
      </c>
      <c r="D6" s="1">
        <v>0</v>
      </c>
      <c r="E6" s="1">
        <v>0</v>
      </c>
      <c r="F6" s="1">
        <v>0</v>
      </c>
      <c r="G6" s="1">
        <v>-0.141291890301355</v>
      </c>
      <c r="H6" s="1">
        <v>0</v>
      </c>
      <c r="I6" s="1">
        <v>0</v>
      </c>
      <c r="J6" s="1">
        <v>0</v>
      </c>
      <c r="K6" s="1">
        <v>0.10587428369070399</v>
      </c>
      <c r="L6" s="4">
        <v>-6.6258895902723061E-2</v>
      </c>
      <c r="M6" s="1">
        <v>0</v>
      </c>
      <c r="N6" s="1">
        <v>0</v>
      </c>
      <c r="O6" s="1">
        <v>-0.42138906570367662</v>
      </c>
      <c r="P6" s="1">
        <v>0</v>
      </c>
      <c r="Q6" s="1">
        <v>0</v>
      </c>
      <c r="S6" t="s">
        <v>8</v>
      </c>
      <c r="T6">
        <v>2.0428870633943874</v>
      </c>
      <c r="U6">
        <v>0</v>
      </c>
      <c r="V6">
        <v>0</v>
      </c>
      <c r="W6">
        <v>0</v>
      </c>
      <c r="X6">
        <v>0</v>
      </c>
      <c r="Y6">
        <v>-0.13689520766634361</v>
      </c>
      <c r="Z6">
        <v>0</v>
      </c>
      <c r="AA6">
        <v>0</v>
      </c>
      <c r="AB6">
        <v>0</v>
      </c>
      <c r="AC6">
        <v>3.1887082404665666E-2</v>
      </c>
      <c r="AD6" s="2">
        <v>0.26854499664104203</v>
      </c>
      <c r="AE6">
        <v>0</v>
      </c>
      <c r="AF6">
        <v>0</v>
      </c>
      <c r="AG6">
        <v>-0.27001291835034336</v>
      </c>
      <c r="AH6">
        <v>0</v>
      </c>
      <c r="AI6">
        <v>0</v>
      </c>
    </row>
    <row r="7" spans="1:35" x14ac:dyDescent="0.3">
      <c r="A7" s="1" t="s">
        <v>9</v>
      </c>
      <c r="B7" s="1">
        <v>1.8308613058693657</v>
      </c>
      <c r="C7" s="1">
        <v>-1.1014484344292923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-0.88738057686427074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S7" t="s">
        <v>9</v>
      </c>
      <c r="T7">
        <v>1.3696171062201117</v>
      </c>
      <c r="U7">
        <v>-1.3194717882238318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-0.77000785686427353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35" x14ac:dyDescent="0.3">
      <c r="A8" s="1" t="s">
        <v>10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0.70665129028242346</v>
      </c>
      <c r="L8" s="4">
        <v>-0.85020401238782328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S8" t="s">
        <v>10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3.1483727272631032E-2</v>
      </c>
      <c r="AD8" s="2">
        <v>1.2313784306335664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35" x14ac:dyDescent="0.3">
      <c r="A9" s="1" t="s">
        <v>11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0.91072425786687916</v>
      </c>
      <c r="J9" s="1">
        <v>0.17463049334870004</v>
      </c>
      <c r="K9" s="1">
        <v>-0.11919183260290515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S9" t="s">
        <v>11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0.78779163867602919</v>
      </c>
      <c r="AB9">
        <v>0.33056999423544609</v>
      </c>
      <c r="AC9">
        <v>-8.246290137511228E-3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35" x14ac:dyDescent="0.3">
      <c r="A10" s="1" t="s">
        <v>12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4">
        <v>-0.57997553780869304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0.78585362779994405</v>
      </c>
      <c r="P10" s="1">
        <v>0</v>
      </c>
      <c r="Q10" s="1">
        <v>0</v>
      </c>
      <c r="S10" t="s">
        <v>12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s="2">
        <v>0.43842925814591416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1.2820371747804391</v>
      </c>
      <c r="AH10">
        <v>0</v>
      </c>
      <c r="AI10">
        <v>0</v>
      </c>
    </row>
    <row r="11" spans="1:35" x14ac:dyDescent="0.3">
      <c r="A11" s="1" t="s">
        <v>13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0.19843392405620749</v>
      </c>
      <c r="H11" s="1">
        <v>0</v>
      </c>
      <c r="I11" s="1">
        <v>0</v>
      </c>
      <c r="J11" s="1">
        <v>0</v>
      </c>
      <c r="K11" s="4">
        <v>-0.37799321247120343</v>
      </c>
      <c r="L11" s="5">
        <v>0.82264122984674359</v>
      </c>
      <c r="M11" s="1">
        <v>0</v>
      </c>
      <c r="N11" s="1">
        <v>-2.1832577877100787</v>
      </c>
      <c r="O11" s="1">
        <v>0</v>
      </c>
      <c r="P11" s="1">
        <v>0</v>
      </c>
      <c r="Q11" s="1">
        <v>0</v>
      </c>
      <c r="S11" t="s">
        <v>13</v>
      </c>
      <c r="T11">
        <v>0</v>
      </c>
      <c r="U11">
        <v>0</v>
      </c>
      <c r="V11">
        <v>0</v>
      </c>
      <c r="W11">
        <v>0</v>
      </c>
      <c r="X11">
        <v>0</v>
      </c>
      <c r="Y11">
        <v>0.21623306960248304</v>
      </c>
      <c r="Z11">
        <v>0</v>
      </c>
      <c r="AA11">
        <v>0</v>
      </c>
      <c r="AB11">
        <v>0</v>
      </c>
      <c r="AC11" s="2">
        <v>0.90901451378685549</v>
      </c>
      <c r="AD11" s="2">
        <v>-3.1645428707785275</v>
      </c>
      <c r="AE11">
        <v>0</v>
      </c>
      <c r="AF11">
        <v>-2.5492927877980578</v>
      </c>
      <c r="AG11">
        <v>0</v>
      </c>
      <c r="AH11">
        <v>0</v>
      </c>
      <c r="AI11">
        <v>0</v>
      </c>
    </row>
    <row r="12" spans="1:35" x14ac:dyDescent="0.3">
      <c r="A12" s="1" t="s">
        <v>14</v>
      </c>
      <c r="B12" s="1">
        <v>-0.96265324536656094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0.60575744802937159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S12" t="s">
        <v>14</v>
      </c>
      <c r="T12">
        <v>-0.13661158685577257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0.61754519268216146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35" x14ac:dyDescent="0.3">
      <c r="A13" s="1" t="s">
        <v>15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2.0257941214712822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S13" t="s">
        <v>15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0.50900801560755848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35" x14ac:dyDescent="0.3">
      <c r="A14" s="1" t="s">
        <v>16</v>
      </c>
      <c r="B14" s="1">
        <v>0.49503133810304017</v>
      </c>
      <c r="C14" s="1">
        <v>0</v>
      </c>
      <c r="D14" s="1">
        <v>0</v>
      </c>
      <c r="E14" s="1">
        <v>0</v>
      </c>
      <c r="F14" s="1">
        <v>0</v>
      </c>
      <c r="G14" s="4">
        <v>-2.4751957220838106E-2</v>
      </c>
      <c r="H14" s="1">
        <v>0</v>
      </c>
      <c r="I14" s="1">
        <v>0</v>
      </c>
      <c r="J14" s="1">
        <v>0</v>
      </c>
      <c r="K14" s="1">
        <v>0</v>
      </c>
      <c r="L14" s="1">
        <v>0.55778104994572431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S14" t="s">
        <v>16</v>
      </c>
      <c r="T14">
        <v>1.5602076141132624</v>
      </c>
      <c r="U14">
        <v>0</v>
      </c>
      <c r="V14">
        <v>0</v>
      </c>
      <c r="W14">
        <v>0</v>
      </c>
      <c r="X14">
        <v>0</v>
      </c>
      <c r="Y14" s="2">
        <v>1.253822945961814E-2</v>
      </c>
      <c r="Z14">
        <v>0</v>
      </c>
      <c r="AA14">
        <v>0</v>
      </c>
      <c r="AB14">
        <v>0</v>
      </c>
      <c r="AC14">
        <v>0</v>
      </c>
      <c r="AD14">
        <v>0.43631005972961051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35" x14ac:dyDescent="0.3">
      <c r="A15" s="1" t="s">
        <v>17</v>
      </c>
      <c r="B15" s="1">
        <v>-1.4227064706673767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-0.61480356480679121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S15" t="s">
        <v>17</v>
      </c>
      <c r="T15">
        <v>-3.3567502182666256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-0.96505654458376378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35" x14ac:dyDescent="0.3">
      <c r="A16" s="1" t="s">
        <v>18</v>
      </c>
      <c r="B16" s="1">
        <v>0</v>
      </c>
      <c r="C16" s="1">
        <v>0</v>
      </c>
      <c r="D16" s="1">
        <v>0</v>
      </c>
      <c r="E16" s="1">
        <v>0</v>
      </c>
      <c r="F16" s="1">
        <v>-1.7920095060361172</v>
      </c>
      <c r="G16" s="1">
        <v>0.16557924517789732</v>
      </c>
      <c r="H16" s="1">
        <v>0</v>
      </c>
      <c r="I16" s="1">
        <v>0</v>
      </c>
      <c r="J16" s="1">
        <v>0</v>
      </c>
      <c r="K16" s="1">
        <v>0</v>
      </c>
      <c r="L16" s="1">
        <v>3.143285893579794E-2</v>
      </c>
      <c r="M16" s="1">
        <v>0</v>
      </c>
      <c r="N16" s="1">
        <v>0.27974137306424468</v>
      </c>
      <c r="O16" s="1">
        <v>0</v>
      </c>
      <c r="P16" s="1">
        <v>0</v>
      </c>
      <c r="Q16" s="1">
        <v>0</v>
      </c>
      <c r="S16" t="s">
        <v>18</v>
      </c>
      <c r="T16">
        <v>0</v>
      </c>
      <c r="U16">
        <v>0</v>
      </c>
      <c r="V16">
        <v>0</v>
      </c>
      <c r="W16">
        <v>0</v>
      </c>
      <c r="X16">
        <v>-2.6695943810126632</v>
      </c>
      <c r="Y16">
        <v>0.35605317951197452</v>
      </c>
      <c r="Z16">
        <v>0</v>
      </c>
      <c r="AA16">
        <v>0</v>
      </c>
      <c r="AB16">
        <v>0</v>
      </c>
      <c r="AC16">
        <v>0</v>
      </c>
      <c r="AD16">
        <v>0.58580487009550486</v>
      </c>
      <c r="AE16">
        <v>0</v>
      </c>
      <c r="AF16">
        <v>1.2589404734374217</v>
      </c>
      <c r="AG16">
        <v>0</v>
      </c>
      <c r="AH16">
        <v>0</v>
      </c>
      <c r="AI16">
        <v>0</v>
      </c>
    </row>
    <row r="17" spans="1:35" x14ac:dyDescent="0.3">
      <c r="A17" s="1" t="s">
        <v>19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0.62030828193064935</v>
      </c>
      <c r="L17" s="4">
        <v>-0.91636095549454599</v>
      </c>
      <c r="M17" s="1">
        <v>0</v>
      </c>
      <c r="N17" s="1">
        <v>0.66172433206387171</v>
      </c>
      <c r="O17" s="1">
        <v>0</v>
      </c>
      <c r="P17" s="1">
        <v>0</v>
      </c>
      <c r="Q17" s="1">
        <v>0</v>
      </c>
      <c r="S17" t="s">
        <v>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0.23492513665264544</v>
      </c>
      <c r="AD17" s="2">
        <v>0.33866776962917472</v>
      </c>
      <c r="AE17">
        <v>0</v>
      </c>
      <c r="AF17">
        <v>1.4842009319232545</v>
      </c>
      <c r="AG17">
        <v>0</v>
      </c>
      <c r="AH17">
        <v>0</v>
      </c>
      <c r="AI17">
        <v>0</v>
      </c>
    </row>
    <row r="18" spans="1:35" x14ac:dyDescent="0.3">
      <c r="A18" s="1" t="s">
        <v>20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S18" t="s">
        <v>20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20" spans="1:35" x14ac:dyDescent="0.3">
      <c r="A20" s="22" t="s">
        <v>35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S20" s="22" t="s">
        <v>36</v>
      </c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 x14ac:dyDescent="0.3">
      <c r="A21" s="1" t="s">
        <v>32</v>
      </c>
      <c r="B21" s="1" t="s">
        <v>5</v>
      </c>
      <c r="C21" s="1" t="s">
        <v>6</v>
      </c>
      <c r="D21" s="1" t="s">
        <v>7</v>
      </c>
      <c r="E21" s="1" t="s">
        <v>8</v>
      </c>
      <c r="F21" s="1" t="s">
        <v>9</v>
      </c>
      <c r="G21" s="1" t="s">
        <v>10</v>
      </c>
      <c r="H21" s="1" t="s">
        <v>11</v>
      </c>
      <c r="I21" s="1" t="s">
        <v>12</v>
      </c>
      <c r="J21" s="1" t="s">
        <v>13</v>
      </c>
      <c r="K21" s="1" t="s">
        <v>14</v>
      </c>
      <c r="L21" s="1" t="s">
        <v>15</v>
      </c>
      <c r="M21" s="1" t="s">
        <v>16</v>
      </c>
      <c r="N21" s="1" t="s">
        <v>17</v>
      </c>
      <c r="O21" s="1" t="s">
        <v>18</v>
      </c>
      <c r="P21" s="1" t="s">
        <v>19</v>
      </c>
      <c r="Q21" s="1" t="s">
        <v>20</v>
      </c>
      <c r="S21" s="1" t="s">
        <v>32</v>
      </c>
      <c r="T21" s="1" t="s">
        <v>5</v>
      </c>
      <c r="U21" s="1" t="s">
        <v>6</v>
      </c>
      <c r="V21" s="1" t="s">
        <v>7</v>
      </c>
      <c r="W21" s="1" t="s">
        <v>8</v>
      </c>
      <c r="X21" s="1" t="s">
        <v>9</v>
      </c>
      <c r="Y21" s="1" t="s">
        <v>10</v>
      </c>
      <c r="Z21" s="1" t="s">
        <v>11</v>
      </c>
      <c r="AA21" s="1" t="s">
        <v>12</v>
      </c>
      <c r="AB21" s="1" t="s">
        <v>13</v>
      </c>
      <c r="AC21" s="1" t="s">
        <v>14</v>
      </c>
      <c r="AD21" s="1" t="s">
        <v>15</v>
      </c>
      <c r="AE21" s="1" t="s">
        <v>16</v>
      </c>
      <c r="AF21" s="1" t="s">
        <v>17</v>
      </c>
      <c r="AG21" s="1" t="s">
        <v>18</v>
      </c>
      <c r="AH21" s="1" t="s">
        <v>19</v>
      </c>
      <c r="AI21" s="1" t="s">
        <v>20</v>
      </c>
    </row>
    <row r="22" spans="1:35" x14ac:dyDescent="0.3">
      <c r="A22" s="1" t="s">
        <v>5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S22" s="1" t="s">
        <v>5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</row>
    <row r="23" spans="1:35" x14ac:dyDescent="0.3">
      <c r="A23" s="1" t="s">
        <v>6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0.91423484445494574</v>
      </c>
      <c r="S23" s="1" t="s">
        <v>6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1.3199740696025577</v>
      </c>
    </row>
    <row r="24" spans="1:35" x14ac:dyDescent="0.3">
      <c r="A24" s="1" t="s">
        <v>7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1.2363823731325165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S24" s="1" t="s">
        <v>7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2.8902215235508077E-2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</row>
    <row r="25" spans="1:35" x14ac:dyDescent="0.3">
      <c r="A25" s="1" t="s">
        <v>8</v>
      </c>
      <c r="B25" s="1">
        <v>1.0110818610372949</v>
      </c>
      <c r="C25" s="1">
        <v>0</v>
      </c>
      <c r="D25" s="1">
        <v>0</v>
      </c>
      <c r="E25" s="1">
        <v>0</v>
      </c>
      <c r="F25" s="1">
        <v>0</v>
      </c>
      <c r="G25" s="1">
        <v>-0.1483671541055647</v>
      </c>
      <c r="H25" s="1">
        <v>0</v>
      </c>
      <c r="I25" s="1">
        <v>0</v>
      </c>
      <c r="J25" s="1">
        <v>0</v>
      </c>
      <c r="K25" s="1">
        <v>0.10121491598611349</v>
      </c>
      <c r="L25" s="4">
        <v>-5.8386772287794174E-2</v>
      </c>
      <c r="M25" s="1">
        <v>0</v>
      </c>
      <c r="N25" s="1">
        <v>0</v>
      </c>
      <c r="O25" s="1">
        <v>-0.3959265957574129</v>
      </c>
      <c r="P25" s="1">
        <v>0</v>
      </c>
      <c r="Q25" s="1">
        <v>0</v>
      </c>
      <c r="S25" s="1" t="s">
        <v>8</v>
      </c>
      <c r="T25" s="1">
        <v>2.0200715706918619</v>
      </c>
      <c r="U25" s="1">
        <v>0</v>
      </c>
      <c r="V25" s="1">
        <v>0</v>
      </c>
      <c r="W25" s="1">
        <v>0</v>
      </c>
      <c r="X25" s="1">
        <v>0</v>
      </c>
      <c r="Y25" s="1">
        <v>-0.14099358814920837</v>
      </c>
      <c r="Z25" s="1">
        <v>0</v>
      </c>
      <c r="AA25" s="1">
        <v>0</v>
      </c>
      <c r="AB25" s="1">
        <v>0</v>
      </c>
      <c r="AC25" s="1">
        <v>7.9349428392256949E-2</v>
      </c>
      <c r="AD25" s="4">
        <v>0.13319455305803404</v>
      </c>
      <c r="AE25" s="1">
        <v>0</v>
      </c>
      <c r="AF25" s="1">
        <v>0</v>
      </c>
      <c r="AG25" s="1">
        <v>-0.23268515382085403</v>
      </c>
      <c r="AH25" s="1">
        <v>0</v>
      </c>
      <c r="AI25" s="1">
        <v>0</v>
      </c>
    </row>
    <row r="26" spans="1:35" x14ac:dyDescent="0.3">
      <c r="A26" s="1" t="s">
        <v>9</v>
      </c>
      <c r="B26" s="1">
        <v>1.8382950958757722</v>
      </c>
      <c r="C26" s="1">
        <v>-1.1066794113914105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-0.87750753105833612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S26" s="1" t="s">
        <v>9</v>
      </c>
      <c r="T26" s="1">
        <v>1.2284880154419107</v>
      </c>
      <c r="U26" s="1">
        <v>-1.3157749871360731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-0.98403804703201214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</row>
    <row r="27" spans="1:35" x14ac:dyDescent="0.3">
      <c r="A27" s="1" t="s">
        <v>10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4">
        <v>0.74251034168581709</v>
      </c>
      <c r="L27" s="4">
        <v>-1.1019878031608537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S27" s="1" t="s">
        <v>10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4">
        <v>-9.174691420589634E-2</v>
      </c>
      <c r="AD27" s="4">
        <v>2.0648822628010128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</row>
    <row r="28" spans="1:35" x14ac:dyDescent="0.3">
      <c r="A28" s="1" t="s">
        <v>11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0.90988324029309386</v>
      </c>
      <c r="J28" s="1">
        <v>0.16215910819708754</v>
      </c>
      <c r="K28" s="1">
        <v>-0.1192679175364839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S28" s="1" t="s">
        <v>11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0.78183054500260996</v>
      </c>
      <c r="AB28" s="1">
        <v>0.30496366217554438</v>
      </c>
      <c r="AC28" s="1">
        <v>-9.8709125994899203E-3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</row>
    <row r="29" spans="1:35" x14ac:dyDescent="0.3">
      <c r="A29" s="1" t="s">
        <v>12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4">
        <v>-0.58619128770141082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0.78355479438562037</v>
      </c>
      <c r="P29" s="1">
        <v>0</v>
      </c>
      <c r="Q29" s="1">
        <v>0</v>
      </c>
      <c r="S29" s="1" t="s">
        <v>12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4">
        <v>0.39465841365964494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1.2515081041636213</v>
      </c>
      <c r="AH29" s="1">
        <v>0</v>
      </c>
      <c r="AI29" s="1">
        <v>0</v>
      </c>
    </row>
    <row r="30" spans="1:35" x14ac:dyDescent="0.3">
      <c r="A30" s="1" t="s">
        <v>13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0.20065772174105603</v>
      </c>
      <c r="H30" s="1">
        <v>0</v>
      </c>
      <c r="I30" s="1">
        <v>0</v>
      </c>
      <c r="J30" s="1">
        <v>0</v>
      </c>
      <c r="K30" s="4">
        <v>-0.40470498028532353</v>
      </c>
      <c r="L30" s="5">
        <v>0.90016551355199326</v>
      </c>
      <c r="M30" s="1">
        <v>0</v>
      </c>
      <c r="N30" s="1">
        <v>-2.1956123065833024</v>
      </c>
      <c r="O30" s="1">
        <v>0</v>
      </c>
      <c r="P30" s="1">
        <v>0</v>
      </c>
      <c r="Q30" s="1">
        <v>0</v>
      </c>
      <c r="S30" s="1" t="s">
        <v>13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0.21224270322142563</v>
      </c>
      <c r="Z30" s="1">
        <v>0</v>
      </c>
      <c r="AA30" s="1">
        <v>0</v>
      </c>
      <c r="AB30" s="1">
        <v>0</v>
      </c>
      <c r="AC30" s="4">
        <v>0.75809953016174658</v>
      </c>
      <c r="AD30" s="4">
        <v>-3.3929609397907421</v>
      </c>
      <c r="AE30" s="1">
        <v>0</v>
      </c>
      <c r="AF30" s="1">
        <v>-2.4934482612160838</v>
      </c>
      <c r="AG30" s="1">
        <v>0</v>
      </c>
      <c r="AH30" s="1">
        <v>0</v>
      </c>
      <c r="AI30" s="1">
        <v>0</v>
      </c>
    </row>
    <row r="31" spans="1:35" x14ac:dyDescent="0.3">
      <c r="A31" s="1" t="s">
        <v>14</v>
      </c>
      <c r="B31" s="1">
        <v>-1.0808799705090442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0.60947297367100128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S31" s="1" t="s">
        <v>14</v>
      </c>
      <c r="T31" s="1">
        <v>-0.9001239487482976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0.45623565633524454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</row>
    <row r="32" spans="1:35" x14ac:dyDescent="0.3">
      <c r="A32" s="1" t="s">
        <v>15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2.1227215970535793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S32" s="1" t="s">
        <v>15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0.27748817298419048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</row>
    <row r="33" spans="1:35" x14ac:dyDescent="0.3">
      <c r="A33" s="1" t="s">
        <v>16</v>
      </c>
      <c r="B33" s="1">
        <v>0.47616508316625344</v>
      </c>
      <c r="C33" s="1">
        <v>0</v>
      </c>
      <c r="D33" s="1">
        <v>0</v>
      </c>
      <c r="E33" s="1">
        <v>0</v>
      </c>
      <c r="F33" s="1">
        <v>0</v>
      </c>
      <c r="G33" s="4">
        <v>-3.7503238169858892E-2</v>
      </c>
      <c r="H33" s="1">
        <v>0</v>
      </c>
      <c r="I33" s="1">
        <v>0</v>
      </c>
      <c r="J33" s="1">
        <v>0</v>
      </c>
      <c r="K33" s="1">
        <v>0</v>
      </c>
      <c r="L33" s="1">
        <v>0.57746620411109362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S33" s="1" t="s">
        <v>16</v>
      </c>
      <c r="T33" s="1">
        <v>1.5462420949658997</v>
      </c>
      <c r="U33" s="1">
        <v>0</v>
      </c>
      <c r="V33" s="1">
        <v>0</v>
      </c>
      <c r="W33" s="1">
        <v>0</v>
      </c>
      <c r="X33" s="1">
        <v>0</v>
      </c>
      <c r="Y33" s="4">
        <v>3.4791376639533387E-3</v>
      </c>
      <c r="Z33" s="1">
        <v>0</v>
      </c>
      <c r="AA33" s="1">
        <v>0</v>
      </c>
      <c r="AB33" s="1">
        <v>0</v>
      </c>
      <c r="AC33" s="1">
        <v>0</v>
      </c>
      <c r="AD33" s="1">
        <v>0.52124141527266721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</row>
    <row r="34" spans="1:35" x14ac:dyDescent="0.3">
      <c r="A34" s="1" t="s">
        <v>17</v>
      </c>
      <c r="B34" s="1">
        <v>-1.3397979622612819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-0.61652318997296207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S34" s="1" t="s">
        <v>17</v>
      </c>
      <c r="T34" s="1">
        <v>-2.8801046424523529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-0.9118449402247395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</row>
    <row r="35" spans="1:35" x14ac:dyDescent="0.3">
      <c r="A35" s="1" t="s">
        <v>18</v>
      </c>
      <c r="B35" s="1">
        <v>0</v>
      </c>
      <c r="C35" s="1">
        <v>0</v>
      </c>
      <c r="D35" s="1">
        <v>0</v>
      </c>
      <c r="E35" s="1">
        <v>0</v>
      </c>
      <c r="F35" s="1">
        <v>-1.7917214361240454</v>
      </c>
      <c r="G35" s="1">
        <v>0.16734392142138321</v>
      </c>
      <c r="H35" s="1">
        <v>0</v>
      </c>
      <c r="I35" s="1">
        <v>0</v>
      </c>
      <c r="J35" s="1">
        <v>0</v>
      </c>
      <c r="K35" s="1">
        <v>0</v>
      </c>
      <c r="L35" s="1">
        <v>3.8526949886206724E-2</v>
      </c>
      <c r="M35" s="1">
        <v>0</v>
      </c>
      <c r="N35" s="1">
        <v>0.26985420094482737</v>
      </c>
      <c r="O35" s="1">
        <v>0</v>
      </c>
      <c r="P35" s="1">
        <v>0</v>
      </c>
      <c r="Q35" s="1">
        <v>0</v>
      </c>
      <c r="S35" s="1" t="s">
        <v>18</v>
      </c>
      <c r="T35" s="1">
        <v>0</v>
      </c>
      <c r="U35" s="1">
        <v>0</v>
      </c>
      <c r="V35" s="1">
        <v>0</v>
      </c>
      <c r="W35" s="1">
        <v>0</v>
      </c>
      <c r="X35" s="1">
        <v>-2.8234094284759146</v>
      </c>
      <c r="Y35" s="1">
        <v>0.40039476132408958</v>
      </c>
      <c r="Z35" s="1">
        <v>0</v>
      </c>
      <c r="AA35" s="1">
        <v>0</v>
      </c>
      <c r="AB35" s="1">
        <v>0</v>
      </c>
      <c r="AC35" s="1">
        <v>0</v>
      </c>
      <c r="AD35" s="1">
        <v>0.82784822185505447</v>
      </c>
      <c r="AE35" s="1">
        <v>0</v>
      </c>
      <c r="AF35" s="1">
        <v>1.0993183192541258</v>
      </c>
      <c r="AG35" s="1">
        <v>0</v>
      </c>
      <c r="AH35" s="1">
        <v>0</v>
      </c>
      <c r="AI35" s="1">
        <v>0</v>
      </c>
    </row>
    <row r="36" spans="1:35" x14ac:dyDescent="0.3">
      <c r="A36" s="1" t="s">
        <v>19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0.63898879144949206</v>
      </c>
      <c r="L36" s="4">
        <v>-0.99218764628495937</v>
      </c>
      <c r="M36" s="1">
        <v>0</v>
      </c>
      <c r="N36" s="1">
        <v>0.68519460620078554</v>
      </c>
      <c r="O36" s="1">
        <v>0</v>
      </c>
      <c r="P36" s="1">
        <v>0</v>
      </c>
      <c r="Q36" s="1">
        <v>0</v>
      </c>
      <c r="S36" s="1" t="s">
        <v>19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0.28082130212090012</v>
      </c>
      <c r="AD36" s="4">
        <v>0.16790715346952392</v>
      </c>
      <c r="AE36" s="1">
        <v>0</v>
      </c>
      <c r="AF36" s="1">
        <v>1.5936610631477102</v>
      </c>
      <c r="AG36" s="1">
        <v>0</v>
      </c>
      <c r="AH36" s="1">
        <v>0</v>
      </c>
      <c r="AI36" s="1">
        <v>0</v>
      </c>
    </row>
    <row r="37" spans="1:35" x14ac:dyDescent="0.3">
      <c r="A37" s="1" t="s">
        <v>20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S37" s="1" t="s">
        <v>20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</row>
    <row r="39" spans="1:35" x14ac:dyDescent="0.3">
      <c r="A39" s="22" t="s">
        <v>37</v>
      </c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S39" s="22" t="s">
        <v>38</v>
      </c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</row>
    <row r="40" spans="1:35" x14ac:dyDescent="0.3">
      <c r="A40" s="1" t="s">
        <v>32</v>
      </c>
      <c r="B40" s="1" t="s">
        <v>5</v>
      </c>
      <c r="C40" s="1" t="s">
        <v>6</v>
      </c>
      <c r="D40" s="1" t="s">
        <v>7</v>
      </c>
      <c r="E40" s="1" t="s">
        <v>8</v>
      </c>
      <c r="F40" s="1" t="s">
        <v>9</v>
      </c>
      <c r="G40" s="1" t="s">
        <v>10</v>
      </c>
      <c r="H40" s="1" t="s">
        <v>11</v>
      </c>
      <c r="I40" s="1" t="s">
        <v>12</v>
      </c>
      <c r="J40" s="1" t="s">
        <v>13</v>
      </c>
      <c r="K40" s="1" t="s">
        <v>14</v>
      </c>
      <c r="L40" s="1" t="s">
        <v>15</v>
      </c>
      <c r="M40" s="1" t="s">
        <v>16</v>
      </c>
      <c r="N40" s="1" t="s">
        <v>17</v>
      </c>
      <c r="O40" s="1" t="s">
        <v>18</v>
      </c>
      <c r="P40" s="1" t="s">
        <v>19</v>
      </c>
      <c r="Q40" s="1" t="s">
        <v>20</v>
      </c>
      <c r="S40" s="1" t="s">
        <v>32</v>
      </c>
      <c r="T40" s="1" t="s">
        <v>5</v>
      </c>
      <c r="U40" s="1" t="s">
        <v>6</v>
      </c>
      <c r="V40" s="1" t="s">
        <v>7</v>
      </c>
      <c r="W40" s="1" t="s">
        <v>8</v>
      </c>
      <c r="X40" s="1" t="s">
        <v>9</v>
      </c>
      <c r="Y40" s="1" t="s">
        <v>10</v>
      </c>
      <c r="Z40" s="1" t="s">
        <v>11</v>
      </c>
      <c r="AA40" s="1" t="s">
        <v>12</v>
      </c>
      <c r="AB40" s="1" t="s">
        <v>13</v>
      </c>
      <c r="AC40" s="1" t="s">
        <v>14</v>
      </c>
      <c r="AD40" s="1" t="s">
        <v>15</v>
      </c>
      <c r="AE40" s="1" t="s">
        <v>16</v>
      </c>
      <c r="AF40" s="1" t="s">
        <v>17</v>
      </c>
      <c r="AG40" s="1" t="s">
        <v>18</v>
      </c>
      <c r="AH40" s="1" t="s">
        <v>19</v>
      </c>
      <c r="AI40" s="1" t="s">
        <v>20</v>
      </c>
    </row>
    <row r="41" spans="1:35" x14ac:dyDescent="0.3">
      <c r="A41" s="1" t="s">
        <v>5</v>
      </c>
      <c r="B41">
        <f>B22-B3</f>
        <v>0</v>
      </c>
      <c r="C41">
        <f t="shared" ref="C41:Q56" si="0">C22-C3</f>
        <v>0</v>
      </c>
      <c r="D41">
        <f t="shared" si="0"/>
        <v>0</v>
      </c>
      <c r="E41">
        <f t="shared" si="0"/>
        <v>0</v>
      </c>
      <c r="F41">
        <f t="shared" si="0"/>
        <v>0</v>
      </c>
      <c r="G41">
        <f t="shared" si="0"/>
        <v>0</v>
      </c>
      <c r="H41">
        <f t="shared" si="0"/>
        <v>0</v>
      </c>
      <c r="I41">
        <f t="shared" si="0"/>
        <v>0</v>
      </c>
      <c r="J41">
        <f>J22-J3</f>
        <v>0</v>
      </c>
      <c r="K41">
        <f t="shared" si="0"/>
        <v>0</v>
      </c>
      <c r="L41">
        <f t="shared" si="0"/>
        <v>0</v>
      </c>
      <c r="M41">
        <f t="shared" si="0"/>
        <v>0</v>
      </c>
      <c r="N41">
        <f t="shared" si="0"/>
        <v>0</v>
      </c>
      <c r="O41">
        <f t="shared" si="0"/>
        <v>0</v>
      </c>
      <c r="P41">
        <f t="shared" si="0"/>
        <v>0</v>
      </c>
      <c r="Q41">
        <f t="shared" si="0"/>
        <v>0</v>
      </c>
      <c r="S41" s="1" t="s">
        <v>5</v>
      </c>
      <c r="T41">
        <f>T22-T3</f>
        <v>0</v>
      </c>
      <c r="U41">
        <f t="shared" ref="U41:AI41" si="1">U22-U3</f>
        <v>0</v>
      </c>
      <c r="V41">
        <f t="shared" si="1"/>
        <v>0</v>
      </c>
      <c r="W41">
        <f t="shared" si="1"/>
        <v>0</v>
      </c>
      <c r="X41">
        <f t="shared" si="1"/>
        <v>0</v>
      </c>
      <c r="Y41">
        <f t="shared" si="1"/>
        <v>0</v>
      </c>
      <c r="Z41">
        <f t="shared" si="1"/>
        <v>0</v>
      </c>
      <c r="AA41">
        <f t="shared" si="1"/>
        <v>0</v>
      </c>
      <c r="AB41">
        <f t="shared" si="1"/>
        <v>0</v>
      </c>
      <c r="AC41">
        <f t="shared" si="1"/>
        <v>0</v>
      </c>
      <c r="AD41">
        <f t="shared" si="1"/>
        <v>0</v>
      </c>
      <c r="AE41">
        <f t="shared" si="1"/>
        <v>0</v>
      </c>
      <c r="AF41">
        <f t="shared" si="1"/>
        <v>0</v>
      </c>
      <c r="AG41">
        <f t="shared" si="1"/>
        <v>0</v>
      </c>
      <c r="AH41">
        <f t="shared" si="1"/>
        <v>0</v>
      </c>
      <c r="AI41">
        <f t="shared" si="1"/>
        <v>0</v>
      </c>
    </row>
    <row r="42" spans="1:35" x14ac:dyDescent="0.3">
      <c r="A42" s="1" t="s">
        <v>6</v>
      </c>
      <c r="B42">
        <f t="shared" ref="B42:Q56" si="2">B23-B4</f>
        <v>0</v>
      </c>
      <c r="C42">
        <f t="shared" si="2"/>
        <v>0</v>
      </c>
      <c r="D42">
        <f t="shared" si="2"/>
        <v>0</v>
      </c>
      <c r="E42">
        <f t="shared" si="2"/>
        <v>0</v>
      </c>
      <c r="F42">
        <f t="shared" si="2"/>
        <v>0</v>
      </c>
      <c r="G42">
        <f t="shared" si="2"/>
        <v>0</v>
      </c>
      <c r="H42">
        <f t="shared" si="2"/>
        <v>0</v>
      </c>
      <c r="I42">
        <f t="shared" si="2"/>
        <v>0</v>
      </c>
      <c r="J42">
        <f t="shared" si="2"/>
        <v>0</v>
      </c>
      <c r="K42">
        <f t="shared" si="2"/>
        <v>0</v>
      </c>
      <c r="L42">
        <f t="shared" si="2"/>
        <v>0</v>
      </c>
      <c r="M42">
        <f t="shared" si="2"/>
        <v>0</v>
      </c>
      <c r="N42">
        <f t="shared" si="2"/>
        <v>0</v>
      </c>
      <c r="O42">
        <f t="shared" si="2"/>
        <v>0</v>
      </c>
      <c r="P42">
        <f t="shared" si="2"/>
        <v>0</v>
      </c>
      <c r="Q42">
        <f t="shared" si="2"/>
        <v>-2.068610382482694E-2</v>
      </c>
      <c r="S42" s="1" t="s">
        <v>6</v>
      </c>
      <c r="T42">
        <f t="shared" ref="T42:AI42" si="3">T23-T4</f>
        <v>0</v>
      </c>
      <c r="U42">
        <f t="shared" si="3"/>
        <v>0</v>
      </c>
      <c r="V42">
        <f t="shared" si="3"/>
        <v>0</v>
      </c>
      <c r="W42">
        <f t="shared" si="3"/>
        <v>0</v>
      </c>
      <c r="X42">
        <f t="shared" si="3"/>
        <v>0</v>
      </c>
      <c r="Y42">
        <f t="shared" si="3"/>
        <v>0</v>
      </c>
      <c r="Z42">
        <f t="shared" si="3"/>
        <v>0</v>
      </c>
      <c r="AA42">
        <f t="shared" si="3"/>
        <v>0</v>
      </c>
      <c r="AB42">
        <f t="shared" si="3"/>
        <v>0</v>
      </c>
      <c r="AC42">
        <f t="shared" si="3"/>
        <v>0</v>
      </c>
      <c r="AD42">
        <f t="shared" si="3"/>
        <v>0</v>
      </c>
      <c r="AE42">
        <f t="shared" si="3"/>
        <v>0</v>
      </c>
      <c r="AF42">
        <f t="shared" si="3"/>
        <v>0</v>
      </c>
      <c r="AG42">
        <f t="shared" si="3"/>
        <v>0</v>
      </c>
      <c r="AH42">
        <f t="shared" si="3"/>
        <v>0</v>
      </c>
      <c r="AI42">
        <f t="shared" si="3"/>
        <v>9.466151959993363E-2</v>
      </c>
    </row>
    <row r="43" spans="1:35" x14ac:dyDescent="0.3">
      <c r="A43" s="1" t="s">
        <v>7</v>
      </c>
      <c r="B43">
        <f t="shared" si="2"/>
        <v>0</v>
      </c>
      <c r="C43">
        <f t="shared" si="0"/>
        <v>0</v>
      </c>
      <c r="D43">
        <f t="shared" si="0"/>
        <v>0</v>
      </c>
      <c r="E43">
        <f t="shared" si="0"/>
        <v>0</v>
      </c>
      <c r="F43">
        <f t="shared" si="0"/>
        <v>0</v>
      </c>
      <c r="G43">
        <f t="shared" si="0"/>
        <v>0</v>
      </c>
      <c r="H43">
        <f t="shared" si="0"/>
        <v>0</v>
      </c>
      <c r="I43">
        <f t="shared" si="0"/>
        <v>0</v>
      </c>
      <c r="J43">
        <f t="shared" si="0"/>
        <v>0</v>
      </c>
      <c r="K43">
        <f t="shared" si="0"/>
        <v>0</v>
      </c>
      <c r="L43">
        <f t="shared" si="0"/>
        <v>-1.2187751843375949E-2</v>
      </c>
      <c r="M43">
        <f t="shared" si="0"/>
        <v>0</v>
      </c>
      <c r="N43">
        <f t="shared" si="0"/>
        <v>0</v>
      </c>
      <c r="O43">
        <f t="shared" si="0"/>
        <v>0</v>
      </c>
      <c r="P43">
        <f t="shared" si="0"/>
        <v>0</v>
      </c>
      <c r="Q43">
        <f t="shared" si="0"/>
        <v>0</v>
      </c>
      <c r="S43" s="1" t="s">
        <v>7</v>
      </c>
      <c r="T43">
        <f t="shared" ref="T43:AI43" si="4">T24-T5</f>
        <v>0</v>
      </c>
      <c r="U43">
        <f t="shared" si="4"/>
        <v>0</v>
      </c>
      <c r="V43">
        <f t="shared" si="4"/>
        <v>0</v>
      </c>
      <c r="W43">
        <f t="shared" si="4"/>
        <v>0</v>
      </c>
      <c r="X43">
        <f t="shared" si="4"/>
        <v>0</v>
      </c>
      <c r="Y43">
        <f t="shared" si="4"/>
        <v>0</v>
      </c>
      <c r="Z43">
        <f t="shared" si="4"/>
        <v>0</v>
      </c>
      <c r="AA43">
        <f t="shared" si="4"/>
        <v>0</v>
      </c>
      <c r="AB43">
        <f t="shared" si="4"/>
        <v>0</v>
      </c>
      <c r="AC43">
        <f t="shared" si="4"/>
        <v>0</v>
      </c>
      <c r="AD43" s="6">
        <f t="shared" si="4"/>
        <v>-5.9141067043727151</v>
      </c>
      <c r="AE43">
        <f t="shared" si="4"/>
        <v>0</v>
      </c>
      <c r="AF43">
        <f t="shared" si="4"/>
        <v>0</v>
      </c>
      <c r="AG43">
        <f t="shared" si="4"/>
        <v>0</v>
      </c>
      <c r="AH43">
        <f t="shared" si="4"/>
        <v>0</v>
      </c>
      <c r="AI43">
        <f t="shared" si="4"/>
        <v>0</v>
      </c>
    </row>
    <row r="44" spans="1:35" x14ac:dyDescent="0.3">
      <c r="A44" s="1" t="s">
        <v>8</v>
      </c>
      <c r="B44">
        <f t="shared" si="2"/>
        <v>-4.44088072273785E-3</v>
      </c>
      <c r="C44">
        <f t="shared" si="0"/>
        <v>0</v>
      </c>
      <c r="D44">
        <f t="shared" si="0"/>
        <v>0</v>
      </c>
      <c r="E44">
        <f t="shared" si="0"/>
        <v>0</v>
      </c>
      <c r="F44">
        <f t="shared" si="0"/>
        <v>0</v>
      </c>
      <c r="G44">
        <f t="shared" si="0"/>
        <v>-7.0752638042096971E-3</v>
      </c>
      <c r="H44">
        <f t="shared" si="0"/>
        <v>0</v>
      </c>
      <c r="I44">
        <f t="shared" si="0"/>
        <v>0</v>
      </c>
      <c r="J44">
        <f t="shared" si="0"/>
        <v>0</v>
      </c>
      <c r="K44">
        <f t="shared" si="0"/>
        <v>-4.6593677045905085E-3</v>
      </c>
      <c r="L44">
        <f t="shared" si="0"/>
        <v>7.8721236149288873E-3</v>
      </c>
      <c r="M44">
        <f t="shared" si="0"/>
        <v>0</v>
      </c>
      <c r="N44">
        <f t="shared" si="0"/>
        <v>0</v>
      </c>
      <c r="O44">
        <f t="shared" si="0"/>
        <v>2.5462469946263722E-2</v>
      </c>
      <c r="P44">
        <f t="shared" si="0"/>
        <v>0</v>
      </c>
      <c r="Q44">
        <f t="shared" si="0"/>
        <v>0</v>
      </c>
      <c r="S44" s="1" t="s">
        <v>8</v>
      </c>
      <c r="T44">
        <f>T25-T6</f>
        <v>-2.2815492702525475E-2</v>
      </c>
      <c r="U44">
        <f t="shared" ref="U44:AI44" si="5">U25-U6</f>
        <v>0</v>
      </c>
      <c r="V44">
        <f t="shared" si="5"/>
        <v>0</v>
      </c>
      <c r="W44">
        <f t="shared" si="5"/>
        <v>0</v>
      </c>
      <c r="X44">
        <f t="shared" si="5"/>
        <v>0</v>
      </c>
      <c r="Y44">
        <f t="shared" si="5"/>
        <v>-4.0983804828647608E-3</v>
      </c>
      <c r="Z44">
        <f t="shared" si="5"/>
        <v>0</v>
      </c>
      <c r="AA44">
        <f t="shared" si="5"/>
        <v>0</v>
      </c>
      <c r="AB44">
        <f t="shared" si="5"/>
        <v>0</v>
      </c>
      <c r="AC44">
        <f t="shared" si="5"/>
        <v>4.7462345987591283E-2</v>
      </c>
      <c r="AD44">
        <f t="shared" si="5"/>
        <v>-0.13535044358300799</v>
      </c>
      <c r="AE44">
        <f t="shared" si="5"/>
        <v>0</v>
      </c>
      <c r="AF44">
        <f t="shared" si="5"/>
        <v>0</v>
      </c>
      <c r="AG44">
        <f t="shared" si="5"/>
        <v>3.7327764529489327E-2</v>
      </c>
      <c r="AH44">
        <f t="shared" si="5"/>
        <v>0</v>
      </c>
      <c r="AI44">
        <f t="shared" si="5"/>
        <v>0</v>
      </c>
    </row>
    <row r="45" spans="1:35" x14ac:dyDescent="0.3">
      <c r="A45" s="1" t="s">
        <v>9</v>
      </c>
      <c r="B45">
        <f t="shared" si="2"/>
        <v>7.4337900064065376E-3</v>
      </c>
      <c r="C45">
        <f t="shared" si="0"/>
        <v>-5.2309769621181612E-3</v>
      </c>
      <c r="D45">
        <f t="shared" si="0"/>
        <v>0</v>
      </c>
      <c r="E45">
        <f t="shared" si="0"/>
        <v>0</v>
      </c>
      <c r="F45">
        <f t="shared" si="0"/>
        <v>0</v>
      </c>
      <c r="G45">
        <f t="shared" si="0"/>
        <v>0</v>
      </c>
      <c r="H45">
        <f t="shared" si="0"/>
        <v>0</v>
      </c>
      <c r="I45">
        <f t="shared" si="0"/>
        <v>0</v>
      </c>
      <c r="J45">
        <f t="shared" si="0"/>
        <v>0</v>
      </c>
      <c r="K45">
        <f t="shared" si="0"/>
        <v>0</v>
      </c>
      <c r="L45">
        <f t="shared" si="0"/>
        <v>9.8730458059346216E-3</v>
      </c>
      <c r="M45">
        <f t="shared" si="0"/>
        <v>0</v>
      </c>
      <c r="N45">
        <f t="shared" si="0"/>
        <v>0</v>
      </c>
      <c r="O45">
        <f t="shared" si="0"/>
        <v>0</v>
      </c>
      <c r="P45">
        <f t="shared" si="0"/>
        <v>0</v>
      </c>
      <c r="Q45">
        <f t="shared" si="0"/>
        <v>0</v>
      </c>
      <c r="S45" s="1" t="s">
        <v>9</v>
      </c>
      <c r="T45">
        <f t="shared" ref="T45:AI45" si="6">T26-T7</f>
        <v>-0.14112909077820102</v>
      </c>
      <c r="U45">
        <f t="shared" si="6"/>
        <v>3.6968010877587165E-3</v>
      </c>
      <c r="V45">
        <f t="shared" si="6"/>
        <v>0</v>
      </c>
      <c r="W45">
        <f t="shared" si="6"/>
        <v>0</v>
      </c>
      <c r="X45">
        <f t="shared" si="6"/>
        <v>0</v>
      </c>
      <c r="Y45">
        <f t="shared" si="6"/>
        <v>0</v>
      </c>
      <c r="Z45">
        <f t="shared" si="6"/>
        <v>0</v>
      </c>
      <c r="AA45">
        <f t="shared" si="6"/>
        <v>0</v>
      </c>
      <c r="AB45">
        <f t="shared" si="6"/>
        <v>0</v>
      </c>
      <c r="AC45">
        <f t="shared" si="6"/>
        <v>0</v>
      </c>
      <c r="AD45">
        <f t="shared" si="6"/>
        <v>-0.21403019016773861</v>
      </c>
      <c r="AE45">
        <f t="shared" si="6"/>
        <v>0</v>
      </c>
      <c r="AF45">
        <f t="shared" si="6"/>
        <v>0</v>
      </c>
      <c r="AG45">
        <f t="shared" si="6"/>
        <v>0</v>
      </c>
      <c r="AH45">
        <f t="shared" si="6"/>
        <v>0</v>
      </c>
      <c r="AI45">
        <f t="shared" si="6"/>
        <v>0</v>
      </c>
    </row>
    <row r="46" spans="1:35" x14ac:dyDescent="0.3">
      <c r="A46" s="1" t="s">
        <v>10</v>
      </c>
      <c r="B46">
        <f t="shared" si="2"/>
        <v>0</v>
      </c>
      <c r="C46">
        <f t="shared" si="0"/>
        <v>0</v>
      </c>
      <c r="D46">
        <f t="shared" si="0"/>
        <v>0</v>
      </c>
      <c r="E46">
        <f t="shared" si="0"/>
        <v>0</v>
      </c>
      <c r="F46">
        <f t="shared" si="0"/>
        <v>0</v>
      </c>
      <c r="G46">
        <f t="shared" si="0"/>
        <v>0</v>
      </c>
      <c r="H46">
        <f t="shared" si="0"/>
        <v>0</v>
      </c>
      <c r="I46">
        <f t="shared" si="0"/>
        <v>0</v>
      </c>
      <c r="J46">
        <f t="shared" si="0"/>
        <v>0</v>
      </c>
      <c r="K46">
        <f t="shared" si="0"/>
        <v>3.5859051403393627E-2</v>
      </c>
      <c r="L46">
        <f t="shared" si="0"/>
        <v>-0.25178379077303037</v>
      </c>
      <c r="M46">
        <f t="shared" si="0"/>
        <v>0</v>
      </c>
      <c r="N46">
        <f t="shared" si="0"/>
        <v>0</v>
      </c>
      <c r="O46">
        <f t="shared" si="0"/>
        <v>0</v>
      </c>
      <c r="P46">
        <f t="shared" si="0"/>
        <v>0</v>
      </c>
      <c r="Q46">
        <f t="shared" si="0"/>
        <v>0</v>
      </c>
      <c r="S46" s="1" t="s">
        <v>10</v>
      </c>
      <c r="T46">
        <f t="shared" ref="T46:AI46" si="7">T27-T8</f>
        <v>0</v>
      </c>
      <c r="U46">
        <f t="shared" si="7"/>
        <v>0</v>
      </c>
      <c r="V46">
        <f t="shared" si="7"/>
        <v>0</v>
      </c>
      <c r="W46">
        <f t="shared" si="7"/>
        <v>0</v>
      </c>
      <c r="X46">
        <f t="shared" si="7"/>
        <v>0</v>
      </c>
      <c r="Y46">
        <f t="shared" si="7"/>
        <v>0</v>
      </c>
      <c r="Z46">
        <f t="shared" si="7"/>
        <v>0</v>
      </c>
      <c r="AA46">
        <f t="shared" si="7"/>
        <v>0</v>
      </c>
      <c r="AB46">
        <f t="shared" si="7"/>
        <v>0</v>
      </c>
      <c r="AC46">
        <f t="shared" si="7"/>
        <v>-0.12323064147852737</v>
      </c>
      <c r="AD46">
        <f t="shared" si="7"/>
        <v>0.83350383216744639</v>
      </c>
      <c r="AE46">
        <f t="shared" si="7"/>
        <v>0</v>
      </c>
      <c r="AF46">
        <f t="shared" si="7"/>
        <v>0</v>
      </c>
      <c r="AG46">
        <f t="shared" si="7"/>
        <v>0</v>
      </c>
      <c r="AH46">
        <f t="shared" si="7"/>
        <v>0</v>
      </c>
      <c r="AI46">
        <f t="shared" si="7"/>
        <v>0</v>
      </c>
    </row>
    <row r="47" spans="1:35" x14ac:dyDescent="0.3">
      <c r="A47" s="1" t="s">
        <v>11</v>
      </c>
      <c r="B47">
        <f t="shared" si="2"/>
        <v>0</v>
      </c>
      <c r="C47">
        <f t="shared" si="0"/>
        <v>0</v>
      </c>
      <c r="D47">
        <f t="shared" si="0"/>
        <v>0</v>
      </c>
      <c r="E47">
        <f t="shared" si="0"/>
        <v>0</v>
      </c>
      <c r="F47">
        <f t="shared" si="0"/>
        <v>0</v>
      </c>
      <c r="G47">
        <f t="shared" si="0"/>
        <v>0</v>
      </c>
      <c r="H47">
        <f t="shared" si="0"/>
        <v>0</v>
      </c>
      <c r="I47">
        <f t="shared" si="0"/>
        <v>-8.4101757378529651E-4</v>
      </c>
      <c r="J47">
        <f t="shared" si="0"/>
        <v>-1.2471385151612502E-2</v>
      </c>
      <c r="K47">
        <f>K28-K9</f>
        <v>-7.6084933578746128E-5</v>
      </c>
      <c r="L47">
        <f t="shared" si="0"/>
        <v>0</v>
      </c>
      <c r="M47">
        <f t="shared" si="0"/>
        <v>0</v>
      </c>
      <c r="N47">
        <f t="shared" si="0"/>
        <v>0</v>
      </c>
      <c r="O47">
        <f t="shared" si="0"/>
        <v>0</v>
      </c>
      <c r="P47">
        <f t="shared" si="0"/>
        <v>0</v>
      </c>
      <c r="Q47">
        <f t="shared" si="0"/>
        <v>0</v>
      </c>
      <c r="S47" s="1" t="s">
        <v>11</v>
      </c>
      <c r="T47">
        <f t="shared" ref="T47:AI47" si="8">T28-T9</f>
        <v>0</v>
      </c>
      <c r="U47">
        <f t="shared" si="8"/>
        <v>0</v>
      </c>
      <c r="V47">
        <f t="shared" si="8"/>
        <v>0</v>
      </c>
      <c r="W47">
        <f t="shared" si="8"/>
        <v>0</v>
      </c>
      <c r="X47">
        <f t="shared" si="8"/>
        <v>0</v>
      </c>
      <c r="Y47">
        <f t="shared" si="8"/>
        <v>0</v>
      </c>
      <c r="Z47">
        <f t="shared" si="8"/>
        <v>0</v>
      </c>
      <c r="AA47">
        <f t="shared" si="8"/>
        <v>-5.9610936734192377E-3</v>
      </c>
      <c r="AB47">
        <f t="shared" si="8"/>
        <v>-2.5606332059901704E-2</v>
      </c>
      <c r="AC47">
        <f t="shared" si="8"/>
        <v>-1.6246224619786923E-3</v>
      </c>
      <c r="AD47">
        <f t="shared" si="8"/>
        <v>0</v>
      </c>
      <c r="AE47">
        <f t="shared" si="8"/>
        <v>0</v>
      </c>
      <c r="AF47">
        <f t="shared" si="8"/>
        <v>0</v>
      </c>
      <c r="AG47">
        <f t="shared" si="8"/>
        <v>0</v>
      </c>
      <c r="AH47">
        <f t="shared" si="8"/>
        <v>0</v>
      </c>
      <c r="AI47">
        <f t="shared" si="8"/>
        <v>0</v>
      </c>
    </row>
    <row r="48" spans="1:35" x14ac:dyDescent="0.3">
      <c r="A48" s="1" t="s">
        <v>12</v>
      </c>
      <c r="B48">
        <f t="shared" si="2"/>
        <v>0</v>
      </c>
      <c r="C48">
        <f t="shared" si="0"/>
        <v>0</v>
      </c>
      <c r="D48">
        <f t="shared" si="0"/>
        <v>0</v>
      </c>
      <c r="E48">
        <f t="shared" si="0"/>
        <v>0</v>
      </c>
      <c r="F48">
        <f t="shared" si="0"/>
        <v>0</v>
      </c>
      <c r="G48">
        <f t="shared" si="0"/>
        <v>0</v>
      </c>
      <c r="H48">
        <f t="shared" si="0"/>
        <v>-6.2157498927177812E-3</v>
      </c>
      <c r="I48">
        <f t="shared" si="0"/>
        <v>0</v>
      </c>
      <c r="J48">
        <f t="shared" si="0"/>
        <v>0</v>
      </c>
      <c r="K48">
        <f t="shared" si="0"/>
        <v>0</v>
      </c>
      <c r="L48">
        <f t="shared" si="0"/>
        <v>0</v>
      </c>
      <c r="M48">
        <f t="shared" si="0"/>
        <v>0</v>
      </c>
      <c r="N48">
        <f t="shared" si="0"/>
        <v>0</v>
      </c>
      <c r="O48">
        <f t="shared" si="0"/>
        <v>-2.2988334143236866E-3</v>
      </c>
      <c r="P48">
        <f t="shared" si="0"/>
        <v>0</v>
      </c>
      <c r="Q48">
        <f t="shared" si="0"/>
        <v>0</v>
      </c>
      <c r="S48" s="1" t="s">
        <v>12</v>
      </c>
      <c r="T48">
        <f t="shared" ref="T48:AI48" si="9">T29-T10</f>
        <v>0</v>
      </c>
      <c r="U48">
        <f t="shared" si="9"/>
        <v>0</v>
      </c>
      <c r="V48">
        <f t="shared" si="9"/>
        <v>0</v>
      </c>
      <c r="W48">
        <f t="shared" si="9"/>
        <v>0</v>
      </c>
      <c r="X48">
        <f t="shared" si="9"/>
        <v>0</v>
      </c>
      <c r="Y48">
        <f t="shared" si="9"/>
        <v>0</v>
      </c>
      <c r="Z48">
        <f t="shared" si="9"/>
        <v>-4.3770844486269223E-2</v>
      </c>
      <c r="AA48">
        <f t="shared" si="9"/>
        <v>0</v>
      </c>
      <c r="AB48">
        <f t="shared" si="9"/>
        <v>0</v>
      </c>
      <c r="AC48">
        <f t="shared" si="9"/>
        <v>0</v>
      </c>
      <c r="AD48">
        <f t="shared" si="9"/>
        <v>0</v>
      </c>
      <c r="AE48">
        <f t="shared" si="9"/>
        <v>0</v>
      </c>
      <c r="AF48">
        <f t="shared" si="9"/>
        <v>0</v>
      </c>
      <c r="AG48">
        <f t="shared" si="9"/>
        <v>-3.0529070616817755E-2</v>
      </c>
      <c r="AH48">
        <f t="shared" si="9"/>
        <v>0</v>
      </c>
      <c r="AI48">
        <f t="shared" si="9"/>
        <v>0</v>
      </c>
    </row>
    <row r="49" spans="1:35" x14ac:dyDescent="0.3">
      <c r="A49" s="1" t="s">
        <v>13</v>
      </c>
      <c r="B49">
        <f t="shared" si="2"/>
        <v>0</v>
      </c>
      <c r="C49">
        <f t="shared" si="0"/>
        <v>0</v>
      </c>
      <c r="D49">
        <f t="shared" si="0"/>
        <v>0</v>
      </c>
      <c r="E49">
        <f t="shared" si="0"/>
        <v>0</v>
      </c>
      <c r="F49">
        <f t="shared" si="0"/>
        <v>0</v>
      </c>
      <c r="G49">
        <f t="shared" si="0"/>
        <v>2.2237976848485386E-3</v>
      </c>
      <c r="H49">
        <f t="shared" si="0"/>
        <v>0</v>
      </c>
      <c r="I49">
        <f t="shared" si="0"/>
        <v>0</v>
      </c>
      <c r="J49">
        <f t="shared" si="0"/>
        <v>0</v>
      </c>
      <c r="K49">
        <f t="shared" si="0"/>
        <v>-2.6711767814120102E-2</v>
      </c>
      <c r="L49">
        <f t="shared" si="0"/>
        <v>7.7524283705249664E-2</v>
      </c>
      <c r="M49">
        <f t="shared" si="0"/>
        <v>0</v>
      </c>
      <c r="N49">
        <f t="shared" si="0"/>
        <v>-1.2354518873223697E-2</v>
      </c>
      <c r="O49">
        <f t="shared" si="0"/>
        <v>0</v>
      </c>
      <c r="P49">
        <f t="shared" si="0"/>
        <v>0</v>
      </c>
      <c r="Q49">
        <f t="shared" si="0"/>
        <v>0</v>
      </c>
      <c r="S49" s="1" t="s">
        <v>13</v>
      </c>
      <c r="T49">
        <f t="shared" ref="T49:AI49" si="10">T30-T11</f>
        <v>0</v>
      </c>
      <c r="U49">
        <f t="shared" si="10"/>
        <v>0</v>
      </c>
      <c r="V49">
        <f t="shared" si="10"/>
        <v>0</v>
      </c>
      <c r="W49">
        <f t="shared" si="10"/>
        <v>0</v>
      </c>
      <c r="X49">
        <f t="shared" si="10"/>
        <v>0</v>
      </c>
      <c r="Y49">
        <f t="shared" si="10"/>
        <v>-3.990366381057403E-3</v>
      </c>
      <c r="Z49">
        <f t="shared" si="10"/>
        <v>0</v>
      </c>
      <c r="AA49">
        <f t="shared" si="10"/>
        <v>0</v>
      </c>
      <c r="AB49">
        <f t="shared" si="10"/>
        <v>0</v>
      </c>
      <c r="AC49">
        <f t="shared" si="10"/>
        <v>-0.15091498362510891</v>
      </c>
      <c r="AD49">
        <f t="shared" si="10"/>
        <v>-0.22841806901221462</v>
      </c>
      <c r="AE49">
        <f t="shared" si="10"/>
        <v>0</v>
      </c>
      <c r="AF49">
        <f t="shared" si="10"/>
        <v>5.584452658197403E-2</v>
      </c>
      <c r="AG49">
        <f t="shared" si="10"/>
        <v>0</v>
      </c>
      <c r="AH49">
        <f t="shared" si="10"/>
        <v>0</v>
      </c>
      <c r="AI49">
        <f t="shared" si="10"/>
        <v>0</v>
      </c>
    </row>
    <row r="50" spans="1:35" x14ac:dyDescent="0.3">
      <c r="A50" s="1" t="s">
        <v>14</v>
      </c>
      <c r="B50">
        <f t="shared" si="2"/>
        <v>-0.11822672514248322</v>
      </c>
      <c r="C50">
        <f t="shared" si="0"/>
        <v>0</v>
      </c>
      <c r="D50">
        <f t="shared" si="0"/>
        <v>0</v>
      </c>
      <c r="E50">
        <f t="shared" si="0"/>
        <v>0</v>
      </c>
      <c r="F50">
        <f t="shared" si="0"/>
        <v>0</v>
      </c>
      <c r="G50">
        <f t="shared" si="0"/>
        <v>0</v>
      </c>
      <c r="H50">
        <f t="shared" si="0"/>
        <v>0</v>
      </c>
      <c r="I50">
        <f t="shared" si="0"/>
        <v>0</v>
      </c>
      <c r="J50">
        <f t="shared" si="0"/>
        <v>0</v>
      </c>
      <c r="K50">
        <f t="shared" si="0"/>
        <v>3.7155256416296911E-3</v>
      </c>
      <c r="L50">
        <f t="shared" si="0"/>
        <v>0</v>
      </c>
      <c r="M50">
        <f t="shared" si="0"/>
        <v>0</v>
      </c>
      <c r="N50">
        <f t="shared" si="0"/>
        <v>0</v>
      </c>
      <c r="O50">
        <f t="shared" si="0"/>
        <v>0</v>
      </c>
      <c r="P50">
        <f t="shared" si="0"/>
        <v>0</v>
      </c>
      <c r="Q50">
        <f t="shared" si="0"/>
        <v>0</v>
      </c>
      <c r="S50" s="1" t="s">
        <v>14</v>
      </c>
      <c r="T50">
        <f t="shared" ref="T50:AI50" si="11">T31-T12</f>
        <v>-0.76351236189252503</v>
      </c>
      <c r="U50">
        <f t="shared" si="11"/>
        <v>0</v>
      </c>
      <c r="V50">
        <f t="shared" si="11"/>
        <v>0</v>
      </c>
      <c r="W50">
        <f t="shared" si="11"/>
        <v>0</v>
      </c>
      <c r="X50">
        <f t="shared" si="11"/>
        <v>0</v>
      </c>
      <c r="Y50">
        <f t="shared" si="11"/>
        <v>0</v>
      </c>
      <c r="Z50">
        <f t="shared" si="11"/>
        <v>0</v>
      </c>
      <c r="AA50">
        <f t="shared" si="11"/>
        <v>0</v>
      </c>
      <c r="AB50">
        <f t="shared" si="11"/>
        <v>0</v>
      </c>
      <c r="AC50">
        <f t="shared" si="11"/>
        <v>-0.16130953634691692</v>
      </c>
      <c r="AD50">
        <f t="shared" si="11"/>
        <v>0</v>
      </c>
      <c r="AE50">
        <f t="shared" si="11"/>
        <v>0</v>
      </c>
      <c r="AF50">
        <f t="shared" si="11"/>
        <v>0</v>
      </c>
      <c r="AG50">
        <f t="shared" si="11"/>
        <v>0</v>
      </c>
      <c r="AH50">
        <f t="shared" si="11"/>
        <v>0</v>
      </c>
      <c r="AI50">
        <f t="shared" si="11"/>
        <v>0</v>
      </c>
    </row>
    <row r="51" spans="1:35" x14ac:dyDescent="0.3">
      <c r="A51" s="1" t="s">
        <v>15</v>
      </c>
      <c r="B51">
        <f t="shared" si="2"/>
        <v>0</v>
      </c>
      <c r="C51">
        <f t="shared" si="0"/>
        <v>0</v>
      </c>
      <c r="D51">
        <f t="shared" si="0"/>
        <v>0</v>
      </c>
      <c r="E51">
        <f t="shared" si="0"/>
        <v>0</v>
      </c>
      <c r="F51">
        <f t="shared" si="0"/>
        <v>0</v>
      </c>
      <c r="G51">
        <f t="shared" si="0"/>
        <v>0</v>
      </c>
      <c r="H51">
        <f t="shared" si="0"/>
        <v>0</v>
      </c>
      <c r="I51">
        <f t="shared" si="0"/>
        <v>0</v>
      </c>
      <c r="J51">
        <f t="shared" si="0"/>
        <v>0</v>
      </c>
      <c r="K51">
        <f t="shared" si="0"/>
        <v>9.6927475582297085E-2</v>
      </c>
      <c r="L51">
        <f t="shared" si="0"/>
        <v>0</v>
      </c>
      <c r="M51">
        <f t="shared" si="0"/>
        <v>0</v>
      </c>
      <c r="N51">
        <f t="shared" si="0"/>
        <v>0</v>
      </c>
      <c r="O51">
        <f t="shared" si="0"/>
        <v>0</v>
      </c>
      <c r="P51">
        <f t="shared" si="0"/>
        <v>0</v>
      </c>
      <c r="Q51">
        <f t="shared" si="0"/>
        <v>0</v>
      </c>
      <c r="S51" s="1" t="s">
        <v>15</v>
      </c>
      <c r="T51">
        <f t="shared" ref="T51:AI51" si="12">T32-T13</f>
        <v>0</v>
      </c>
      <c r="U51">
        <f t="shared" si="12"/>
        <v>0</v>
      </c>
      <c r="V51">
        <f t="shared" si="12"/>
        <v>0</v>
      </c>
      <c r="W51">
        <f t="shared" si="12"/>
        <v>0</v>
      </c>
      <c r="X51">
        <f t="shared" si="12"/>
        <v>0</v>
      </c>
      <c r="Y51">
        <f t="shared" si="12"/>
        <v>0</v>
      </c>
      <c r="Z51">
        <f t="shared" si="12"/>
        <v>0</v>
      </c>
      <c r="AA51">
        <f t="shared" si="12"/>
        <v>0</v>
      </c>
      <c r="AB51">
        <f t="shared" si="12"/>
        <v>0</v>
      </c>
      <c r="AC51">
        <f t="shared" si="12"/>
        <v>-0.231519842623368</v>
      </c>
      <c r="AD51">
        <f t="shared" si="12"/>
        <v>0</v>
      </c>
      <c r="AE51">
        <f t="shared" si="12"/>
        <v>0</v>
      </c>
      <c r="AF51">
        <f t="shared" si="12"/>
        <v>0</v>
      </c>
      <c r="AG51">
        <f t="shared" si="12"/>
        <v>0</v>
      </c>
      <c r="AH51">
        <f t="shared" si="12"/>
        <v>0</v>
      </c>
      <c r="AI51">
        <f t="shared" si="12"/>
        <v>0</v>
      </c>
    </row>
    <row r="52" spans="1:35" x14ac:dyDescent="0.3">
      <c r="A52" s="1" t="s">
        <v>16</v>
      </c>
      <c r="B52">
        <f t="shared" si="2"/>
        <v>-1.886625493678673E-2</v>
      </c>
      <c r="C52">
        <f t="shared" si="0"/>
        <v>0</v>
      </c>
      <c r="D52">
        <f t="shared" si="0"/>
        <v>0</v>
      </c>
      <c r="E52">
        <f t="shared" si="0"/>
        <v>0</v>
      </c>
      <c r="F52">
        <f t="shared" si="0"/>
        <v>0</v>
      </c>
      <c r="G52">
        <f t="shared" si="0"/>
        <v>-1.2751280949020786E-2</v>
      </c>
      <c r="H52">
        <f t="shared" si="0"/>
        <v>0</v>
      </c>
      <c r="I52">
        <f t="shared" si="0"/>
        <v>0</v>
      </c>
      <c r="J52">
        <f t="shared" si="0"/>
        <v>0</v>
      </c>
      <c r="K52">
        <f t="shared" si="0"/>
        <v>0</v>
      </c>
      <c r="L52">
        <f t="shared" si="0"/>
        <v>1.9685154165369312E-2</v>
      </c>
      <c r="M52">
        <f t="shared" si="0"/>
        <v>0</v>
      </c>
      <c r="N52">
        <f t="shared" si="0"/>
        <v>0</v>
      </c>
      <c r="O52">
        <f t="shared" si="0"/>
        <v>0</v>
      </c>
      <c r="P52">
        <f t="shared" si="0"/>
        <v>0</v>
      </c>
      <c r="Q52">
        <f t="shared" si="0"/>
        <v>0</v>
      </c>
      <c r="S52" s="1" t="s">
        <v>16</v>
      </c>
      <c r="T52">
        <f t="shared" ref="T52:AI52" si="13">T33-T14</f>
        <v>-1.3965519147362659E-2</v>
      </c>
      <c r="U52">
        <f t="shared" si="13"/>
        <v>0</v>
      </c>
      <c r="V52">
        <f t="shared" si="13"/>
        <v>0</v>
      </c>
      <c r="W52">
        <f t="shared" si="13"/>
        <v>0</v>
      </c>
      <c r="X52">
        <f t="shared" si="13"/>
        <v>0</v>
      </c>
      <c r="Y52">
        <f t="shared" si="13"/>
        <v>-9.0590917956648014E-3</v>
      </c>
      <c r="Z52">
        <f t="shared" si="13"/>
        <v>0</v>
      </c>
      <c r="AA52">
        <f t="shared" si="13"/>
        <v>0</v>
      </c>
      <c r="AB52">
        <f t="shared" si="13"/>
        <v>0</v>
      </c>
      <c r="AC52">
        <f t="shared" si="13"/>
        <v>0</v>
      </c>
      <c r="AD52">
        <f t="shared" si="13"/>
        <v>8.4931355543056697E-2</v>
      </c>
      <c r="AE52">
        <f t="shared" si="13"/>
        <v>0</v>
      </c>
      <c r="AF52">
        <f t="shared" si="13"/>
        <v>0</v>
      </c>
      <c r="AG52">
        <f t="shared" si="13"/>
        <v>0</v>
      </c>
      <c r="AH52">
        <f t="shared" si="13"/>
        <v>0</v>
      </c>
      <c r="AI52">
        <f t="shared" si="13"/>
        <v>0</v>
      </c>
    </row>
    <row r="53" spans="1:35" x14ac:dyDescent="0.3">
      <c r="A53" s="1" t="s">
        <v>17</v>
      </c>
      <c r="B53">
        <f t="shared" si="2"/>
        <v>8.2908508406094761E-2</v>
      </c>
      <c r="C53">
        <f t="shared" si="0"/>
        <v>0</v>
      </c>
      <c r="D53">
        <f t="shared" si="0"/>
        <v>0</v>
      </c>
      <c r="E53">
        <f t="shared" si="0"/>
        <v>0</v>
      </c>
      <c r="F53">
        <f t="shared" si="0"/>
        <v>0</v>
      </c>
      <c r="G53">
        <f t="shared" si="0"/>
        <v>0</v>
      </c>
      <c r="H53">
        <f t="shared" si="0"/>
        <v>0</v>
      </c>
      <c r="I53">
        <f t="shared" si="0"/>
        <v>0</v>
      </c>
      <c r="J53">
        <f t="shared" si="0"/>
        <v>0</v>
      </c>
      <c r="K53">
        <f t="shared" si="0"/>
        <v>0</v>
      </c>
      <c r="L53">
        <f t="shared" si="0"/>
        <v>-1.7196251661708573E-3</v>
      </c>
      <c r="M53">
        <f t="shared" si="0"/>
        <v>0</v>
      </c>
      <c r="N53">
        <f t="shared" si="0"/>
        <v>0</v>
      </c>
      <c r="O53">
        <f t="shared" si="0"/>
        <v>0</v>
      </c>
      <c r="P53">
        <f t="shared" si="0"/>
        <v>0</v>
      </c>
      <c r="Q53">
        <f t="shared" si="0"/>
        <v>0</v>
      </c>
      <c r="S53" s="1" t="s">
        <v>17</v>
      </c>
      <c r="T53">
        <f t="shared" ref="T53:AI53" si="14">T34-T15</f>
        <v>0.47664557581427269</v>
      </c>
      <c r="U53">
        <f t="shared" si="14"/>
        <v>0</v>
      </c>
      <c r="V53">
        <f t="shared" si="14"/>
        <v>0</v>
      </c>
      <c r="W53">
        <f t="shared" si="14"/>
        <v>0</v>
      </c>
      <c r="X53">
        <f t="shared" si="14"/>
        <v>0</v>
      </c>
      <c r="Y53">
        <f t="shared" si="14"/>
        <v>0</v>
      </c>
      <c r="Z53">
        <f t="shared" si="14"/>
        <v>0</v>
      </c>
      <c r="AA53">
        <f t="shared" si="14"/>
        <v>0</v>
      </c>
      <c r="AB53">
        <f t="shared" si="14"/>
        <v>0</v>
      </c>
      <c r="AC53">
        <f t="shared" si="14"/>
        <v>0</v>
      </c>
      <c r="AD53">
        <f t="shared" si="14"/>
        <v>5.3211604359024278E-2</v>
      </c>
      <c r="AE53">
        <f t="shared" si="14"/>
        <v>0</v>
      </c>
      <c r="AF53">
        <f t="shared" si="14"/>
        <v>0</v>
      </c>
      <c r="AG53">
        <f t="shared" si="14"/>
        <v>0</v>
      </c>
      <c r="AH53">
        <f t="shared" si="14"/>
        <v>0</v>
      </c>
      <c r="AI53">
        <f t="shared" si="14"/>
        <v>0</v>
      </c>
    </row>
    <row r="54" spans="1:35" x14ac:dyDescent="0.3">
      <c r="A54" s="1" t="s">
        <v>18</v>
      </c>
      <c r="B54">
        <f t="shared" si="2"/>
        <v>0</v>
      </c>
      <c r="C54">
        <f t="shared" si="0"/>
        <v>0</v>
      </c>
      <c r="D54">
        <f t="shared" si="0"/>
        <v>0</v>
      </c>
      <c r="E54">
        <f t="shared" si="0"/>
        <v>0</v>
      </c>
      <c r="F54">
        <f t="shared" si="0"/>
        <v>2.8806991207175336E-4</v>
      </c>
      <c r="G54">
        <f t="shared" si="0"/>
        <v>1.7646762434858909E-3</v>
      </c>
      <c r="H54">
        <f t="shared" si="0"/>
        <v>0</v>
      </c>
      <c r="I54">
        <f t="shared" si="0"/>
        <v>0</v>
      </c>
      <c r="J54">
        <f t="shared" si="0"/>
        <v>0</v>
      </c>
      <c r="K54">
        <f t="shared" si="0"/>
        <v>0</v>
      </c>
      <c r="L54">
        <f t="shared" si="0"/>
        <v>7.0940909504087837E-3</v>
      </c>
      <c r="M54">
        <f t="shared" si="0"/>
        <v>0</v>
      </c>
      <c r="N54">
        <f t="shared" si="0"/>
        <v>-9.887172119417309E-3</v>
      </c>
      <c r="O54">
        <f t="shared" si="0"/>
        <v>0</v>
      </c>
      <c r="P54">
        <f t="shared" si="0"/>
        <v>0</v>
      </c>
      <c r="Q54">
        <f t="shared" si="0"/>
        <v>0</v>
      </c>
      <c r="S54" s="1" t="s">
        <v>18</v>
      </c>
      <c r="T54">
        <f t="shared" ref="T54:AI54" si="15">T35-T16</f>
        <v>0</v>
      </c>
      <c r="U54">
        <f t="shared" si="15"/>
        <v>0</v>
      </c>
      <c r="V54">
        <f t="shared" si="15"/>
        <v>0</v>
      </c>
      <c r="W54">
        <f t="shared" si="15"/>
        <v>0</v>
      </c>
      <c r="X54">
        <f t="shared" si="15"/>
        <v>-0.15381504746325136</v>
      </c>
      <c r="Y54">
        <f t="shared" si="15"/>
        <v>4.4341581812115061E-2</v>
      </c>
      <c r="Z54">
        <f t="shared" si="15"/>
        <v>0</v>
      </c>
      <c r="AA54">
        <f t="shared" si="15"/>
        <v>0</v>
      </c>
      <c r="AB54">
        <f t="shared" si="15"/>
        <v>0</v>
      </c>
      <c r="AC54">
        <f t="shared" si="15"/>
        <v>0</v>
      </c>
      <c r="AD54">
        <f t="shared" si="15"/>
        <v>0.24204335175954961</v>
      </c>
      <c r="AE54">
        <f t="shared" si="15"/>
        <v>0</v>
      </c>
      <c r="AF54">
        <f t="shared" si="15"/>
        <v>-0.15962215418329584</v>
      </c>
      <c r="AG54">
        <f t="shared" si="15"/>
        <v>0</v>
      </c>
      <c r="AH54">
        <f t="shared" si="15"/>
        <v>0</v>
      </c>
      <c r="AI54">
        <f t="shared" si="15"/>
        <v>0</v>
      </c>
    </row>
    <row r="55" spans="1:35" x14ac:dyDescent="0.3">
      <c r="A55" s="1" t="s">
        <v>19</v>
      </c>
      <c r="B55">
        <f t="shared" si="2"/>
        <v>0</v>
      </c>
      <c r="C55">
        <f t="shared" si="0"/>
        <v>0</v>
      </c>
      <c r="D55">
        <f t="shared" si="0"/>
        <v>0</v>
      </c>
      <c r="E55">
        <f t="shared" si="0"/>
        <v>0</v>
      </c>
      <c r="F55">
        <f t="shared" si="0"/>
        <v>0</v>
      </c>
      <c r="G55">
        <f t="shared" si="0"/>
        <v>0</v>
      </c>
      <c r="H55">
        <f t="shared" si="0"/>
        <v>0</v>
      </c>
      <c r="I55">
        <f t="shared" si="0"/>
        <v>0</v>
      </c>
      <c r="J55">
        <f t="shared" si="0"/>
        <v>0</v>
      </c>
      <c r="K55">
        <f t="shared" si="0"/>
        <v>1.8680509518842703E-2</v>
      </c>
      <c r="L55">
        <f t="shared" si="0"/>
        <v>-7.5826690790413376E-2</v>
      </c>
      <c r="M55">
        <f t="shared" si="0"/>
        <v>0</v>
      </c>
      <c r="N55">
        <f t="shared" si="0"/>
        <v>2.3470274136913827E-2</v>
      </c>
      <c r="O55">
        <f t="shared" si="0"/>
        <v>0</v>
      </c>
      <c r="P55">
        <f t="shared" si="0"/>
        <v>0</v>
      </c>
      <c r="Q55">
        <f t="shared" si="0"/>
        <v>0</v>
      </c>
      <c r="S55" s="1" t="s">
        <v>19</v>
      </c>
      <c r="T55">
        <f t="shared" ref="T55:AI55" si="16">T36-T17</f>
        <v>0</v>
      </c>
      <c r="U55">
        <f t="shared" si="16"/>
        <v>0</v>
      </c>
      <c r="V55">
        <f t="shared" si="16"/>
        <v>0</v>
      </c>
      <c r="W55">
        <f t="shared" si="16"/>
        <v>0</v>
      </c>
      <c r="X55">
        <f t="shared" si="16"/>
        <v>0</v>
      </c>
      <c r="Y55">
        <f t="shared" si="16"/>
        <v>0</v>
      </c>
      <c r="Z55">
        <f t="shared" si="16"/>
        <v>0</v>
      </c>
      <c r="AA55">
        <f t="shared" si="16"/>
        <v>0</v>
      </c>
      <c r="AB55">
        <f t="shared" si="16"/>
        <v>0</v>
      </c>
      <c r="AC55">
        <f t="shared" si="16"/>
        <v>4.5896165468254674E-2</v>
      </c>
      <c r="AD55">
        <f t="shared" si="16"/>
        <v>-0.1707606161596508</v>
      </c>
      <c r="AE55">
        <f t="shared" si="16"/>
        <v>0</v>
      </c>
      <c r="AF55">
        <f t="shared" si="16"/>
        <v>0.10946013122445564</v>
      </c>
      <c r="AG55">
        <f t="shared" si="16"/>
        <v>0</v>
      </c>
      <c r="AH55">
        <f t="shared" si="16"/>
        <v>0</v>
      </c>
      <c r="AI55">
        <f t="shared" si="16"/>
        <v>0</v>
      </c>
    </row>
    <row r="56" spans="1:35" x14ac:dyDescent="0.3">
      <c r="A56" s="1" t="s">
        <v>20</v>
      </c>
      <c r="B56">
        <f t="shared" si="2"/>
        <v>0</v>
      </c>
      <c r="C56">
        <f t="shared" si="0"/>
        <v>0</v>
      </c>
      <c r="D56">
        <f t="shared" si="0"/>
        <v>0</v>
      </c>
      <c r="E56">
        <f t="shared" si="0"/>
        <v>0</v>
      </c>
      <c r="F56">
        <f t="shared" si="0"/>
        <v>0</v>
      </c>
      <c r="G56">
        <f t="shared" si="0"/>
        <v>0</v>
      </c>
      <c r="H56">
        <f t="shared" si="0"/>
        <v>0</v>
      </c>
      <c r="I56">
        <f t="shared" si="0"/>
        <v>0</v>
      </c>
      <c r="J56">
        <f t="shared" si="0"/>
        <v>0</v>
      </c>
      <c r="K56">
        <f t="shared" si="0"/>
        <v>0</v>
      </c>
      <c r="L56">
        <f t="shared" si="0"/>
        <v>0</v>
      </c>
      <c r="M56">
        <f t="shared" si="0"/>
        <v>0</v>
      </c>
      <c r="N56">
        <f t="shared" si="0"/>
        <v>0</v>
      </c>
      <c r="O56">
        <f t="shared" si="0"/>
        <v>0</v>
      </c>
      <c r="P56">
        <f t="shared" si="0"/>
        <v>0</v>
      </c>
      <c r="Q56">
        <f t="shared" si="0"/>
        <v>0</v>
      </c>
      <c r="S56" s="1" t="s">
        <v>20</v>
      </c>
      <c r="T56">
        <f t="shared" ref="T56:AI56" si="17">T37-T18</f>
        <v>0</v>
      </c>
      <c r="U56">
        <f t="shared" si="17"/>
        <v>0</v>
      </c>
      <c r="V56">
        <f t="shared" si="17"/>
        <v>0</v>
      </c>
      <c r="W56">
        <f t="shared" si="17"/>
        <v>0</v>
      </c>
      <c r="X56">
        <f t="shared" si="17"/>
        <v>0</v>
      </c>
      <c r="Y56">
        <f t="shared" si="17"/>
        <v>0</v>
      </c>
      <c r="Z56">
        <f t="shared" si="17"/>
        <v>0</v>
      </c>
      <c r="AA56">
        <f t="shared" si="17"/>
        <v>0</v>
      </c>
      <c r="AB56">
        <f t="shared" si="17"/>
        <v>0</v>
      </c>
      <c r="AC56">
        <f t="shared" si="17"/>
        <v>0</v>
      </c>
      <c r="AD56">
        <f t="shared" si="17"/>
        <v>0</v>
      </c>
      <c r="AE56">
        <f t="shared" si="17"/>
        <v>0</v>
      </c>
      <c r="AF56">
        <f t="shared" si="17"/>
        <v>0</v>
      </c>
      <c r="AG56">
        <f t="shared" si="17"/>
        <v>0</v>
      </c>
      <c r="AH56">
        <f t="shared" si="17"/>
        <v>0</v>
      </c>
      <c r="AI56">
        <f t="shared" si="17"/>
        <v>0</v>
      </c>
    </row>
    <row r="58" spans="1:35" x14ac:dyDescent="0.3">
      <c r="A58" s="22" t="s">
        <v>27</v>
      </c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S58" s="22" t="s">
        <v>27</v>
      </c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</row>
    <row r="59" spans="1:35" x14ac:dyDescent="0.3">
      <c r="A59" s="1" t="s">
        <v>39</v>
      </c>
      <c r="B59">
        <f>AVERAGE(B41:Q56)</f>
        <v>-7.1690779557970381E-4</v>
      </c>
      <c r="C59" t="s">
        <v>40</v>
      </c>
      <c r="D59">
        <f>MEDIAN(B41:Q56)</f>
        <v>0</v>
      </c>
      <c r="E59" t="s">
        <v>43</v>
      </c>
      <c r="F59">
        <f>MIN(B41:Q56)</f>
        <v>-0.25178379077303037</v>
      </c>
      <c r="G59" t="s">
        <v>44</v>
      </c>
      <c r="H59">
        <f>MAX(B41:Q56)</f>
        <v>9.6927475582297085E-2</v>
      </c>
      <c r="I59" t="s">
        <v>41</v>
      </c>
      <c r="J59" cm="1">
        <f t="array" ref="J59">MIN(IF(B41:P55&lt;&gt;0,ABS(B41:P55)))</f>
        <v>7.6084933578746128E-5</v>
      </c>
      <c r="K59" t="s">
        <v>42</v>
      </c>
      <c r="L59" cm="1">
        <f t="array" ref="L59">MAX(ABS(B41:Q56))</f>
        <v>0.25178379077303037</v>
      </c>
      <c r="S59" s="1" t="s">
        <v>39</v>
      </c>
      <c r="T59">
        <f>AVERAGE(T41:AI56)</f>
        <v>-2.5703570076404156E-2</v>
      </c>
      <c r="U59" t="s">
        <v>40</v>
      </c>
      <c r="V59">
        <f>MEDIAN(T41:AI56)</f>
        <v>0</v>
      </c>
      <c r="W59" t="s">
        <v>43</v>
      </c>
      <c r="X59">
        <f>MIN(T41:AI56)</f>
        <v>-5.9141067043727151</v>
      </c>
      <c r="Y59" t="s">
        <v>44</v>
      </c>
      <c r="Z59">
        <f>MAX(T41:AI56)</f>
        <v>0.83350383216744639</v>
      </c>
      <c r="AA59" t="s">
        <v>41</v>
      </c>
      <c r="AB59" cm="1">
        <f t="array" ref="AB59">MIN(IF(T41:AH55&lt;&gt;0,ABS(T41:AH55)))</f>
        <v>1.6246224619786923E-3</v>
      </c>
      <c r="AC59" t="s">
        <v>42</v>
      </c>
      <c r="AD59" cm="1">
        <f t="array" ref="AD59">MAX(ABS(T41:AI56))</f>
        <v>5.9141067043727151</v>
      </c>
    </row>
    <row r="61" spans="1:35" x14ac:dyDescent="0.3">
      <c r="A61" s="22" t="s">
        <v>67</v>
      </c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S61" s="22" t="s">
        <v>68</v>
      </c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</row>
    <row r="62" spans="1:35" x14ac:dyDescent="0.3">
      <c r="A62" s="1" t="s">
        <v>32</v>
      </c>
      <c r="B62" s="1" t="s">
        <v>5</v>
      </c>
      <c r="C62" s="1" t="s">
        <v>6</v>
      </c>
      <c r="D62" s="1" t="s">
        <v>7</v>
      </c>
      <c r="E62" s="1" t="s">
        <v>8</v>
      </c>
      <c r="F62" s="1" t="s">
        <v>9</v>
      </c>
      <c r="G62" s="1" t="s">
        <v>10</v>
      </c>
      <c r="H62" s="1" t="s">
        <v>11</v>
      </c>
      <c r="I62" s="1" t="s">
        <v>12</v>
      </c>
      <c r="J62" s="1" t="s">
        <v>13</v>
      </c>
      <c r="K62" s="1" t="s">
        <v>14</v>
      </c>
      <c r="L62" s="1" t="s">
        <v>15</v>
      </c>
      <c r="M62" s="1" t="s">
        <v>16</v>
      </c>
      <c r="N62" s="1" t="s">
        <v>17</v>
      </c>
      <c r="O62" s="1" t="s">
        <v>18</v>
      </c>
      <c r="P62" s="1" t="s">
        <v>19</v>
      </c>
      <c r="Q62" s="1" t="s">
        <v>20</v>
      </c>
      <c r="S62" s="1" t="s">
        <v>32</v>
      </c>
      <c r="T62" s="1" t="s">
        <v>5</v>
      </c>
      <c r="U62" s="1" t="s">
        <v>6</v>
      </c>
      <c r="V62" s="1" t="s">
        <v>7</v>
      </c>
      <c r="W62" s="1" t="s">
        <v>8</v>
      </c>
      <c r="X62" s="1" t="s">
        <v>9</v>
      </c>
      <c r="Y62" s="1" t="s">
        <v>10</v>
      </c>
      <c r="Z62" s="1" t="s">
        <v>11</v>
      </c>
      <c r="AA62" s="1" t="s">
        <v>12</v>
      </c>
      <c r="AB62" s="1" t="s">
        <v>13</v>
      </c>
      <c r="AC62" s="1" t="s">
        <v>14</v>
      </c>
      <c r="AD62" s="1" t="s">
        <v>15</v>
      </c>
      <c r="AE62" s="1" t="s">
        <v>16</v>
      </c>
      <c r="AF62" s="1" t="s">
        <v>17</v>
      </c>
      <c r="AG62" s="1" t="s">
        <v>18</v>
      </c>
      <c r="AH62" s="1" t="s">
        <v>19</v>
      </c>
      <c r="AI62" s="1" t="s">
        <v>20</v>
      </c>
    </row>
    <row r="63" spans="1:35" x14ac:dyDescent="0.3">
      <c r="A63" s="1" t="s">
        <v>5</v>
      </c>
      <c r="B63">
        <f t="shared" ref="B63:B78" si="18">B22-T22</f>
        <v>0</v>
      </c>
      <c r="C63">
        <f t="shared" ref="C63:C78" si="19">C22-U22</f>
        <v>0</v>
      </c>
      <c r="D63">
        <f t="shared" ref="D63:D78" si="20">D22-V22</f>
        <v>0</v>
      </c>
      <c r="E63">
        <f t="shared" ref="E63:E78" si="21">E22-W22</f>
        <v>0</v>
      </c>
      <c r="F63">
        <f t="shared" ref="F63:F78" si="22">F22-X22</f>
        <v>0</v>
      </c>
      <c r="G63">
        <f t="shared" ref="G63:G78" si="23">G22-Y22</f>
        <v>0</v>
      </c>
      <c r="H63">
        <f t="shared" ref="H63:H78" si="24">H22-Z22</f>
        <v>0</v>
      </c>
      <c r="I63">
        <f t="shared" ref="I63:I78" si="25">I22-AA22</f>
        <v>0</v>
      </c>
      <c r="J63">
        <f t="shared" ref="J63:J78" si="26">J22-AB22</f>
        <v>0</v>
      </c>
      <c r="K63">
        <f t="shared" ref="K63:K78" si="27">K22-AC22</f>
        <v>0</v>
      </c>
      <c r="L63">
        <f t="shared" ref="L63:L78" si="28">L22-AD22</f>
        <v>0</v>
      </c>
      <c r="M63">
        <f t="shared" ref="M63:M78" si="29">M22-AE22</f>
        <v>0</v>
      </c>
      <c r="N63">
        <f t="shared" ref="N63:N78" si="30">N22-AF22</f>
        <v>0</v>
      </c>
      <c r="O63">
        <f t="shared" ref="O63:O78" si="31">O22-AG22</f>
        <v>0</v>
      </c>
      <c r="P63">
        <f t="shared" ref="P63:P78" si="32">P22-AH22</f>
        <v>0</v>
      </c>
      <c r="Q63">
        <f t="shared" ref="Q63:Q78" si="33">Q22-AI22</f>
        <v>0</v>
      </c>
      <c r="S63" s="1" t="s">
        <v>5</v>
      </c>
      <c r="T63">
        <f>B3-T3</f>
        <v>0</v>
      </c>
      <c r="U63">
        <f t="shared" ref="U63:U78" si="34">C3-U3</f>
        <v>0</v>
      </c>
      <c r="V63">
        <f t="shared" ref="V63:V78" si="35">D3-V3</f>
        <v>0</v>
      </c>
      <c r="W63">
        <f t="shared" ref="W63:W78" si="36">E3-W3</f>
        <v>0</v>
      </c>
      <c r="X63">
        <f t="shared" ref="X63:X78" si="37">F3-X3</f>
        <v>0</v>
      </c>
      <c r="Y63">
        <f t="shared" ref="Y63:Y78" si="38">G3-Y3</f>
        <v>0</v>
      </c>
      <c r="Z63">
        <f t="shared" ref="Z63:Z78" si="39">H3-Z3</f>
        <v>0</v>
      </c>
      <c r="AA63">
        <f t="shared" ref="AA63:AA78" si="40">I3-AA3</f>
        <v>0</v>
      </c>
      <c r="AB63">
        <f t="shared" ref="AB63:AB78" si="41">J3-AB3</f>
        <v>0</v>
      </c>
      <c r="AC63">
        <f t="shared" ref="AC63:AC78" si="42">K3-AC3</f>
        <v>0</v>
      </c>
      <c r="AD63">
        <f t="shared" ref="AD63:AD78" si="43">L3-AD3</f>
        <v>0</v>
      </c>
      <c r="AE63">
        <f t="shared" ref="AE63:AE78" si="44">M3-AE3</f>
        <v>0</v>
      </c>
      <c r="AF63">
        <f t="shared" ref="AF63:AF78" si="45">N3-AF3</f>
        <v>0</v>
      </c>
      <c r="AG63">
        <f t="shared" ref="AG63:AG78" si="46">O3-AG3</f>
        <v>0</v>
      </c>
      <c r="AH63">
        <f t="shared" ref="AH63:AH78" si="47">P3-AH3</f>
        <v>0</v>
      </c>
      <c r="AI63">
        <f t="shared" ref="AI63:AI78" si="48">Q3-AI3</f>
        <v>0</v>
      </c>
    </row>
    <row r="64" spans="1:35" x14ac:dyDescent="0.3">
      <c r="A64" s="1" t="s">
        <v>6</v>
      </c>
      <c r="B64">
        <f t="shared" si="18"/>
        <v>0</v>
      </c>
      <c r="C64">
        <f t="shared" si="19"/>
        <v>0</v>
      </c>
      <c r="D64">
        <f t="shared" si="20"/>
        <v>0</v>
      </c>
      <c r="E64">
        <f t="shared" si="21"/>
        <v>0</v>
      </c>
      <c r="F64">
        <f t="shared" si="22"/>
        <v>0</v>
      </c>
      <c r="G64">
        <f t="shared" si="23"/>
        <v>0</v>
      </c>
      <c r="H64">
        <f t="shared" si="24"/>
        <v>0</v>
      </c>
      <c r="I64">
        <f t="shared" si="25"/>
        <v>0</v>
      </c>
      <c r="J64">
        <f t="shared" si="26"/>
        <v>0</v>
      </c>
      <c r="K64">
        <f t="shared" si="27"/>
        <v>0</v>
      </c>
      <c r="L64">
        <f t="shared" si="28"/>
        <v>0</v>
      </c>
      <c r="M64">
        <f t="shared" si="29"/>
        <v>0</v>
      </c>
      <c r="N64">
        <f t="shared" si="30"/>
        <v>0</v>
      </c>
      <c r="O64">
        <f t="shared" si="31"/>
        <v>0</v>
      </c>
      <c r="P64">
        <f t="shared" si="32"/>
        <v>0</v>
      </c>
      <c r="Q64">
        <f t="shared" si="33"/>
        <v>-0.40573922514761196</v>
      </c>
      <c r="S64" s="1" t="s">
        <v>6</v>
      </c>
      <c r="T64">
        <f t="shared" ref="T64:T78" si="49">B4-T4</f>
        <v>0</v>
      </c>
      <c r="U64">
        <f t="shared" si="34"/>
        <v>0</v>
      </c>
      <c r="V64">
        <f t="shared" si="35"/>
        <v>0</v>
      </c>
      <c r="W64">
        <f t="shared" si="36"/>
        <v>0</v>
      </c>
      <c r="X64">
        <f t="shared" si="37"/>
        <v>0</v>
      </c>
      <c r="Y64">
        <f t="shared" si="38"/>
        <v>0</v>
      </c>
      <c r="Z64">
        <f t="shared" si="39"/>
        <v>0</v>
      </c>
      <c r="AA64">
        <f t="shared" si="40"/>
        <v>0</v>
      </c>
      <c r="AB64">
        <f t="shared" si="41"/>
        <v>0</v>
      </c>
      <c r="AC64">
        <f t="shared" si="42"/>
        <v>0</v>
      </c>
      <c r="AD64">
        <f t="shared" si="43"/>
        <v>0</v>
      </c>
      <c r="AE64">
        <f t="shared" si="44"/>
        <v>0</v>
      </c>
      <c r="AF64">
        <f t="shared" si="45"/>
        <v>0</v>
      </c>
      <c r="AG64">
        <f t="shared" si="46"/>
        <v>0</v>
      </c>
      <c r="AH64">
        <f t="shared" si="47"/>
        <v>0</v>
      </c>
      <c r="AI64">
        <f t="shared" si="48"/>
        <v>-0.29039160172285139</v>
      </c>
    </row>
    <row r="65" spans="1:35" x14ac:dyDescent="0.3">
      <c r="A65" s="1" t="s">
        <v>7</v>
      </c>
      <c r="B65">
        <f t="shared" si="18"/>
        <v>0</v>
      </c>
      <c r="C65">
        <f t="shared" si="19"/>
        <v>0</v>
      </c>
      <c r="D65">
        <f t="shared" si="20"/>
        <v>0</v>
      </c>
      <c r="E65">
        <f t="shared" si="21"/>
        <v>0</v>
      </c>
      <c r="F65">
        <f t="shared" si="22"/>
        <v>0</v>
      </c>
      <c r="G65">
        <f t="shared" si="23"/>
        <v>0</v>
      </c>
      <c r="H65">
        <f t="shared" si="24"/>
        <v>0</v>
      </c>
      <c r="I65">
        <f t="shared" si="25"/>
        <v>0</v>
      </c>
      <c r="J65">
        <f t="shared" si="26"/>
        <v>0</v>
      </c>
      <c r="K65">
        <f t="shared" si="27"/>
        <v>0</v>
      </c>
      <c r="L65">
        <f t="shared" si="28"/>
        <v>1.2074801578970085</v>
      </c>
      <c r="M65">
        <f t="shared" si="29"/>
        <v>0</v>
      </c>
      <c r="N65">
        <f t="shared" si="30"/>
        <v>0</v>
      </c>
      <c r="O65">
        <f t="shared" si="31"/>
        <v>0</v>
      </c>
      <c r="P65">
        <f t="shared" si="32"/>
        <v>0</v>
      </c>
      <c r="Q65">
        <f t="shared" si="33"/>
        <v>0</v>
      </c>
      <c r="S65" s="1" t="s">
        <v>7</v>
      </c>
      <c r="T65">
        <f t="shared" si="49"/>
        <v>0</v>
      </c>
      <c r="U65">
        <f t="shared" si="34"/>
        <v>0</v>
      </c>
      <c r="V65">
        <f t="shared" si="35"/>
        <v>0</v>
      </c>
      <c r="W65">
        <f t="shared" si="36"/>
        <v>0</v>
      </c>
      <c r="X65">
        <f t="shared" si="37"/>
        <v>0</v>
      </c>
      <c r="Y65">
        <f t="shared" si="38"/>
        <v>0</v>
      </c>
      <c r="Z65">
        <f t="shared" si="39"/>
        <v>0</v>
      </c>
      <c r="AA65">
        <f t="shared" si="40"/>
        <v>0</v>
      </c>
      <c r="AB65">
        <f t="shared" si="41"/>
        <v>0</v>
      </c>
      <c r="AC65">
        <f t="shared" si="42"/>
        <v>0</v>
      </c>
      <c r="AD65" s="6">
        <f t="shared" si="43"/>
        <v>-4.6944387946323305</v>
      </c>
      <c r="AE65">
        <f t="shared" si="44"/>
        <v>0</v>
      </c>
      <c r="AF65">
        <f t="shared" si="45"/>
        <v>0</v>
      </c>
      <c r="AG65">
        <f t="shared" si="46"/>
        <v>0</v>
      </c>
      <c r="AH65">
        <f t="shared" si="47"/>
        <v>0</v>
      </c>
      <c r="AI65">
        <f t="shared" si="48"/>
        <v>0</v>
      </c>
    </row>
    <row r="66" spans="1:35" x14ac:dyDescent="0.3">
      <c r="A66" s="1" t="s">
        <v>8</v>
      </c>
      <c r="B66">
        <f t="shared" si="18"/>
        <v>-1.008989709654567</v>
      </c>
      <c r="C66">
        <f t="shared" si="19"/>
        <v>0</v>
      </c>
      <c r="D66">
        <f t="shared" si="20"/>
        <v>0</v>
      </c>
      <c r="E66">
        <f t="shared" si="21"/>
        <v>0</v>
      </c>
      <c r="F66">
        <f t="shared" si="22"/>
        <v>0</v>
      </c>
      <c r="G66">
        <f t="shared" si="23"/>
        <v>-7.3735659563563261E-3</v>
      </c>
      <c r="H66">
        <f t="shared" si="24"/>
        <v>0</v>
      </c>
      <c r="I66">
        <f t="shared" si="25"/>
        <v>0</v>
      </c>
      <c r="J66">
        <f t="shared" si="26"/>
        <v>0</v>
      </c>
      <c r="K66">
        <f t="shared" si="27"/>
        <v>2.1865487593856536E-2</v>
      </c>
      <c r="L66">
        <f t="shared" si="28"/>
        <v>-0.19158132534582822</v>
      </c>
      <c r="M66">
        <f t="shared" si="29"/>
        <v>0</v>
      </c>
      <c r="N66">
        <f t="shared" si="30"/>
        <v>0</v>
      </c>
      <c r="O66">
        <f t="shared" si="31"/>
        <v>-0.16324144193655887</v>
      </c>
      <c r="P66">
        <f t="shared" si="32"/>
        <v>0</v>
      </c>
      <c r="Q66">
        <f t="shared" si="33"/>
        <v>0</v>
      </c>
      <c r="S66" s="1" t="s">
        <v>8</v>
      </c>
      <c r="T66">
        <f t="shared" si="49"/>
        <v>-1.0273643216343546</v>
      </c>
      <c r="U66">
        <f t="shared" si="34"/>
        <v>0</v>
      </c>
      <c r="V66">
        <f t="shared" si="35"/>
        <v>0</v>
      </c>
      <c r="W66">
        <f t="shared" si="36"/>
        <v>0</v>
      </c>
      <c r="X66">
        <f t="shared" si="37"/>
        <v>0</v>
      </c>
      <c r="Y66">
        <f t="shared" si="38"/>
        <v>-4.3966826350113897E-3</v>
      </c>
      <c r="Z66">
        <f t="shared" si="39"/>
        <v>0</v>
      </c>
      <c r="AA66">
        <f t="shared" si="40"/>
        <v>0</v>
      </c>
      <c r="AB66">
        <f t="shared" si="41"/>
        <v>0</v>
      </c>
      <c r="AC66">
        <f t="shared" si="42"/>
        <v>7.3987201286038334E-2</v>
      </c>
      <c r="AD66">
        <f t="shared" si="43"/>
        <v>-0.33480389254376508</v>
      </c>
      <c r="AE66">
        <f t="shared" si="44"/>
        <v>0</v>
      </c>
      <c r="AF66">
        <f t="shared" si="45"/>
        <v>0</v>
      </c>
      <c r="AG66">
        <f t="shared" si="46"/>
        <v>-0.15137614735333327</v>
      </c>
      <c r="AH66">
        <f t="shared" si="47"/>
        <v>0</v>
      </c>
      <c r="AI66">
        <f t="shared" si="48"/>
        <v>0</v>
      </c>
    </row>
    <row r="67" spans="1:35" x14ac:dyDescent="0.3">
      <c r="A67" s="1" t="s">
        <v>9</v>
      </c>
      <c r="B67">
        <f t="shared" si="18"/>
        <v>0.60980708043386156</v>
      </c>
      <c r="C67">
        <f t="shared" si="19"/>
        <v>0.20909557574466264</v>
      </c>
      <c r="D67">
        <f t="shared" si="20"/>
        <v>0</v>
      </c>
      <c r="E67">
        <f t="shared" si="21"/>
        <v>0</v>
      </c>
      <c r="F67">
        <f t="shared" si="22"/>
        <v>0</v>
      </c>
      <c r="G67">
        <f t="shared" si="23"/>
        <v>0</v>
      </c>
      <c r="H67">
        <f t="shared" si="24"/>
        <v>0</v>
      </c>
      <c r="I67">
        <f t="shared" si="25"/>
        <v>0</v>
      </c>
      <c r="J67">
        <f t="shared" si="26"/>
        <v>0</v>
      </c>
      <c r="K67">
        <f t="shared" si="27"/>
        <v>0</v>
      </c>
      <c r="L67">
        <f t="shared" si="28"/>
        <v>0.10653051597367602</v>
      </c>
      <c r="M67">
        <f t="shared" si="29"/>
        <v>0</v>
      </c>
      <c r="N67">
        <f t="shared" si="30"/>
        <v>0</v>
      </c>
      <c r="O67">
        <f t="shared" si="31"/>
        <v>0</v>
      </c>
      <c r="P67">
        <f t="shared" si="32"/>
        <v>0</v>
      </c>
      <c r="Q67">
        <f t="shared" si="33"/>
        <v>0</v>
      </c>
      <c r="S67" s="1" t="s">
        <v>9</v>
      </c>
      <c r="T67">
        <f t="shared" si="49"/>
        <v>0.46124419964925401</v>
      </c>
      <c r="U67">
        <f t="shared" si="34"/>
        <v>0.21802335379453952</v>
      </c>
      <c r="V67">
        <f t="shared" si="35"/>
        <v>0</v>
      </c>
      <c r="W67">
        <f t="shared" si="36"/>
        <v>0</v>
      </c>
      <c r="X67">
        <f t="shared" si="37"/>
        <v>0</v>
      </c>
      <c r="Y67">
        <f t="shared" si="38"/>
        <v>0</v>
      </c>
      <c r="Z67">
        <f t="shared" si="39"/>
        <v>0</v>
      </c>
      <c r="AA67">
        <f t="shared" si="40"/>
        <v>0</v>
      </c>
      <c r="AB67">
        <f t="shared" si="41"/>
        <v>0</v>
      </c>
      <c r="AC67">
        <f t="shared" si="42"/>
        <v>0</v>
      </c>
      <c r="AD67">
        <f t="shared" si="43"/>
        <v>-0.11737271999999721</v>
      </c>
      <c r="AE67">
        <f t="shared" si="44"/>
        <v>0</v>
      </c>
      <c r="AF67">
        <f t="shared" si="45"/>
        <v>0</v>
      </c>
      <c r="AG67">
        <f t="shared" si="46"/>
        <v>0</v>
      </c>
      <c r="AH67">
        <f t="shared" si="47"/>
        <v>0</v>
      </c>
      <c r="AI67">
        <f t="shared" si="48"/>
        <v>0</v>
      </c>
    </row>
    <row r="68" spans="1:35" x14ac:dyDescent="0.3">
      <c r="A68" s="1" t="s">
        <v>10</v>
      </c>
      <c r="B68">
        <f t="shared" si="18"/>
        <v>0</v>
      </c>
      <c r="C68">
        <f t="shared" si="19"/>
        <v>0</v>
      </c>
      <c r="D68">
        <f t="shared" si="20"/>
        <v>0</v>
      </c>
      <c r="E68">
        <f t="shared" si="21"/>
        <v>0</v>
      </c>
      <c r="F68">
        <f t="shared" si="22"/>
        <v>0</v>
      </c>
      <c r="G68">
        <f t="shared" si="23"/>
        <v>0</v>
      </c>
      <c r="H68">
        <f t="shared" si="24"/>
        <v>0</v>
      </c>
      <c r="I68">
        <f t="shared" si="25"/>
        <v>0</v>
      </c>
      <c r="J68">
        <f t="shared" si="26"/>
        <v>0</v>
      </c>
      <c r="K68">
        <f t="shared" si="27"/>
        <v>0.8342572558917134</v>
      </c>
      <c r="L68" s="6">
        <f t="shared" si="28"/>
        <v>-3.1668700659618665</v>
      </c>
      <c r="M68">
        <f t="shared" si="29"/>
        <v>0</v>
      </c>
      <c r="N68">
        <f t="shared" si="30"/>
        <v>0</v>
      </c>
      <c r="O68">
        <f t="shared" si="31"/>
        <v>0</v>
      </c>
      <c r="P68">
        <f t="shared" si="32"/>
        <v>0</v>
      </c>
      <c r="Q68">
        <f t="shared" si="33"/>
        <v>0</v>
      </c>
      <c r="S68" s="1" t="s">
        <v>10</v>
      </c>
      <c r="T68">
        <f t="shared" si="49"/>
        <v>0</v>
      </c>
      <c r="U68">
        <f t="shared" si="34"/>
        <v>0</v>
      </c>
      <c r="V68">
        <f t="shared" si="35"/>
        <v>0</v>
      </c>
      <c r="W68">
        <f t="shared" si="36"/>
        <v>0</v>
      </c>
      <c r="X68">
        <f t="shared" si="37"/>
        <v>0</v>
      </c>
      <c r="Y68">
        <f t="shared" si="38"/>
        <v>0</v>
      </c>
      <c r="Z68">
        <f t="shared" si="39"/>
        <v>0</v>
      </c>
      <c r="AA68">
        <f t="shared" si="40"/>
        <v>0</v>
      </c>
      <c r="AB68">
        <f t="shared" si="41"/>
        <v>0</v>
      </c>
      <c r="AC68">
        <f t="shared" si="42"/>
        <v>0.67516756300979242</v>
      </c>
      <c r="AD68" s="6">
        <f t="shared" si="43"/>
        <v>-2.0815824430213898</v>
      </c>
      <c r="AE68">
        <f t="shared" si="44"/>
        <v>0</v>
      </c>
      <c r="AF68">
        <f t="shared" si="45"/>
        <v>0</v>
      </c>
      <c r="AG68">
        <f t="shared" si="46"/>
        <v>0</v>
      </c>
      <c r="AH68">
        <f t="shared" si="47"/>
        <v>0</v>
      </c>
      <c r="AI68">
        <f t="shared" si="48"/>
        <v>0</v>
      </c>
    </row>
    <row r="69" spans="1:35" x14ac:dyDescent="0.3">
      <c r="A69" s="1" t="s">
        <v>11</v>
      </c>
      <c r="B69">
        <f t="shared" si="18"/>
        <v>0</v>
      </c>
      <c r="C69">
        <f t="shared" si="19"/>
        <v>0</v>
      </c>
      <c r="D69">
        <f t="shared" si="20"/>
        <v>0</v>
      </c>
      <c r="E69">
        <f t="shared" si="21"/>
        <v>0</v>
      </c>
      <c r="F69">
        <f t="shared" si="22"/>
        <v>0</v>
      </c>
      <c r="G69">
        <f t="shared" si="23"/>
        <v>0</v>
      </c>
      <c r="H69">
        <f t="shared" si="24"/>
        <v>0</v>
      </c>
      <c r="I69">
        <f t="shared" si="25"/>
        <v>0.12805269529048391</v>
      </c>
      <c r="J69">
        <f t="shared" si="26"/>
        <v>-0.14280455397845684</v>
      </c>
      <c r="K69">
        <f t="shared" si="27"/>
        <v>-0.10939700493699397</v>
      </c>
      <c r="L69">
        <f t="shared" si="28"/>
        <v>0</v>
      </c>
      <c r="M69">
        <f t="shared" si="29"/>
        <v>0</v>
      </c>
      <c r="N69">
        <f t="shared" si="30"/>
        <v>0</v>
      </c>
      <c r="O69">
        <f t="shared" si="31"/>
        <v>0</v>
      </c>
      <c r="P69">
        <f t="shared" si="32"/>
        <v>0</v>
      </c>
      <c r="Q69">
        <f t="shared" si="33"/>
        <v>0</v>
      </c>
      <c r="S69" s="1" t="s">
        <v>11</v>
      </c>
      <c r="T69">
        <f t="shared" si="49"/>
        <v>0</v>
      </c>
      <c r="U69">
        <f t="shared" si="34"/>
        <v>0</v>
      </c>
      <c r="V69">
        <f t="shared" si="35"/>
        <v>0</v>
      </c>
      <c r="W69">
        <f t="shared" si="36"/>
        <v>0</v>
      </c>
      <c r="X69">
        <f t="shared" si="37"/>
        <v>0</v>
      </c>
      <c r="Y69">
        <f t="shared" si="38"/>
        <v>0</v>
      </c>
      <c r="Z69">
        <f t="shared" si="39"/>
        <v>0</v>
      </c>
      <c r="AA69">
        <f t="shared" si="40"/>
        <v>0.12293261919084997</v>
      </c>
      <c r="AB69">
        <f t="shared" si="41"/>
        <v>-0.15593950088674605</v>
      </c>
      <c r="AC69">
        <f t="shared" si="42"/>
        <v>-0.11094554246539393</v>
      </c>
      <c r="AD69">
        <f t="shared" si="43"/>
        <v>0</v>
      </c>
      <c r="AE69">
        <f t="shared" si="44"/>
        <v>0</v>
      </c>
      <c r="AF69">
        <f t="shared" si="45"/>
        <v>0</v>
      </c>
      <c r="AG69">
        <f t="shared" si="46"/>
        <v>0</v>
      </c>
      <c r="AH69">
        <f t="shared" si="47"/>
        <v>0</v>
      </c>
      <c r="AI69">
        <f t="shared" si="48"/>
        <v>0</v>
      </c>
    </row>
    <row r="70" spans="1:35" x14ac:dyDescent="0.3">
      <c r="A70" s="1" t="s">
        <v>12</v>
      </c>
      <c r="B70">
        <f t="shared" si="18"/>
        <v>0</v>
      </c>
      <c r="C70">
        <f t="shared" si="19"/>
        <v>0</v>
      </c>
      <c r="D70">
        <f t="shared" si="20"/>
        <v>0</v>
      </c>
      <c r="E70">
        <f t="shared" si="21"/>
        <v>0</v>
      </c>
      <c r="F70">
        <f t="shared" si="22"/>
        <v>0</v>
      </c>
      <c r="G70">
        <f t="shared" si="23"/>
        <v>0</v>
      </c>
      <c r="H70">
        <f t="shared" si="24"/>
        <v>-0.98084970136105576</v>
      </c>
      <c r="I70">
        <f t="shared" si="25"/>
        <v>0</v>
      </c>
      <c r="J70">
        <f t="shared" si="26"/>
        <v>0</v>
      </c>
      <c r="K70">
        <f t="shared" si="27"/>
        <v>0</v>
      </c>
      <c r="L70">
        <f t="shared" si="28"/>
        <v>0</v>
      </c>
      <c r="M70">
        <f t="shared" si="29"/>
        <v>0</v>
      </c>
      <c r="N70">
        <f t="shared" si="30"/>
        <v>0</v>
      </c>
      <c r="O70">
        <f t="shared" si="31"/>
        <v>-0.46795330977800098</v>
      </c>
      <c r="P70">
        <f t="shared" si="32"/>
        <v>0</v>
      </c>
      <c r="Q70">
        <f t="shared" si="33"/>
        <v>0</v>
      </c>
      <c r="S70" s="1" t="s">
        <v>12</v>
      </c>
      <c r="T70">
        <f t="shared" si="49"/>
        <v>0</v>
      </c>
      <c r="U70">
        <f t="shared" si="34"/>
        <v>0</v>
      </c>
      <c r="V70">
        <f t="shared" si="35"/>
        <v>0</v>
      </c>
      <c r="W70">
        <f t="shared" si="36"/>
        <v>0</v>
      </c>
      <c r="X70">
        <f t="shared" si="37"/>
        <v>0</v>
      </c>
      <c r="Y70">
        <f t="shared" si="38"/>
        <v>0</v>
      </c>
      <c r="Z70">
        <f t="shared" si="39"/>
        <v>-1.0184047959546072</v>
      </c>
      <c r="AA70">
        <f t="shared" si="40"/>
        <v>0</v>
      </c>
      <c r="AB70">
        <f t="shared" si="41"/>
        <v>0</v>
      </c>
      <c r="AC70">
        <f t="shared" si="42"/>
        <v>0</v>
      </c>
      <c r="AD70">
        <f t="shared" si="43"/>
        <v>0</v>
      </c>
      <c r="AE70">
        <f t="shared" si="44"/>
        <v>0</v>
      </c>
      <c r="AF70">
        <f t="shared" si="45"/>
        <v>0</v>
      </c>
      <c r="AG70">
        <f t="shared" si="46"/>
        <v>-0.49618354698049505</v>
      </c>
      <c r="AH70">
        <f t="shared" si="47"/>
        <v>0</v>
      </c>
      <c r="AI70">
        <f t="shared" si="48"/>
        <v>0</v>
      </c>
    </row>
    <row r="71" spans="1:35" x14ac:dyDescent="0.3">
      <c r="A71" s="1" t="s">
        <v>13</v>
      </c>
      <c r="B71">
        <f t="shared" si="18"/>
        <v>0</v>
      </c>
      <c r="C71">
        <f t="shared" si="19"/>
        <v>0</v>
      </c>
      <c r="D71">
        <f t="shared" si="20"/>
        <v>0</v>
      </c>
      <c r="E71">
        <f t="shared" si="21"/>
        <v>0</v>
      </c>
      <c r="F71">
        <f t="shared" si="22"/>
        <v>0</v>
      </c>
      <c r="G71">
        <f t="shared" si="23"/>
        <v>-1.1584981480369599E-2</v>
      </c>
      <c r="H71">
        <f t="shared" si="24"/>
        <v>0</v>
      </c>
      <c r="I71">
        <f t="shared" si="25"/>
        <v>0</v>
      </c>
      <c r="J71">
        <f t="shared" si="26"/>
        <v>0</v>
      </c>
      <c r="K71">
        <f t="shared" si="27"/>
        <v>-1.1628045104470701</v>
      </c>
      <c r="L71" s="6">
        <f t="shared" si="28"/>
        <v>4.2931264533427349</v>
      </c>
      <c r="M71">
        <f t="shared" si="29"/>
        <v>0</v>
      </c>
      <c r="N71">
        <f t="shared" si="30"/>
        <v>0.29783595463278134</v>
      </c>
      <c r="O71">
        <f t="shared" si="31"/>
        <v>0</v>
      </c>
      <c r="P71">
        <f t="shared" si="32"/>
        <v>0</v>
      </c>
      <c r="Q71">
        <f t="shared" si="33"/>
        <v>0</v>
      </c>
      <c r="S71" s="1" t="s">
        <v>13</v>
      </c>
      <c r="T71">
        <f t="shared" si="49"/>
        <v>0</v>
      </c>
      <c r="U71">
        <f t="shared" si="34"/>
        <v>0</v>
      </c>
      <c r="V71">
        <f t="shared" si="35"/>
        <v>0</v>
      </c>
      <c r="W71">
        <f t="shared" si="36"/>
        <v>0</v>
      </c>
      <c r="X71">
        <f t="shared" si="37"/>
        <v>0</v>
      </c>
      <c r="Y71">
        <f t="shared" si="38"/>
        <v>-1.7799145546275541E-2</v>
      </c>
      <c r="Z71">
        <f t="shared" si="39"/>
        <v>0</v>
      </c>
      <c r="AA71">
        <f t="shared" si="40"/>
        <v>0</v>
      </c>
      <c r="AB71">
        <f t="shared" si="41"/>
        <v>0</v>
      </c>
      <c r="AC71">
        <f t="shared" si="42"/>
        <v>-1.287007726258059</v>
      </c>
      <c r="AD71" s="6">
        <f t="shared" si="43"/>
        <v>3.9871841006252708</v>
      </c>
      <c r="AE71">
        <f t="shared" si="44"/>
        <v>0</v>
      </c>
      <c r="AF71">
        <f t="shared" si="45"/>
        <v>0.36603500008797907</v>
      </c>
      <c r="AG71">
        <f t="shared" si="46"/>
        <v>0</v>
      </c>
      <c r="AH71">
        <f t="shared" si="47"/>
        <v>0</v>
      </c>
      <c r="AI71">
        <f t="shared" si="48"/>
        <v>0</v>
      </c>
    </row>
    <row r="72" spans="1:35" x14ac:dyDescent="0.3">
      <c r="A72" s="1" t="s">
        <v>14</v>
      </c>
      <c r="B72">
        <f t="shared" si="18"/>
        <v>-0.18075602176074657</v>
      </c>
      <c r="C72">
        <f t="shared" si="19"/>
        <v>0</v>
      </c>
      <c r="D72">
        <f t="shared" si="20"/>
        <v>0</v>
      </c>
      <c r="E72">
        <f t="shared" si="21"/>
        <v>0</v>
      </c>
      <c r="F72">
        <f t="shared" si="22"/>
        <v>0</v>
      </c>
      <c r="G72">
        <f t="shared" si="23"/>
        <v>0</v>
      </c>
      <c r="H72">
        <f t="shared" si="24"/>
        <v>0</v>
      </c>
      <c r="I72">
        <f t="shared" si="25"/>
        <v>0</v>
      </c>
      <c r="J72">
        <f t="shared" si="26"/>
        <v>0</v>
      </c>
      <c r="K72">
        <f t="shared" si="27"/>
        <v>0.15323731733575674</v>
      </c>
      <c r="L72">
        <f t="shared" si="28"/>
        <v>0</v>
      </c>
      <c r="M72">
        <f t="shared" si="29"/>
        <v>0</v>
      </c>
      <c r="N72">
        <f t="shared" si="30"/>
        <v>0</v>
      </c>
      <c r="O72">
        <f t="shared" si="31"/>
        <v>0</v>
      </c>
      <c r="P72">
        <f t="shared" si="32"/>
        <v>0</v>
      </c>
      <c r="Q72">
        <f t="shared" si="33"/>
        <v>0</v>
      </c>
      <c r="S72" s="1" t="s">
        <v>14</v>
      </c>
      <c r="T72">
        <f t="shared" si="49"/>
        <v>-0.82604165851078837</v>
      </c>
      <c r="U72">
        <f t="shared" si="34"/>
        <v>0</v>
      </c>
      <c r="V72">
        <f t="shared" si="35"/>
        <v>0</v>
      </c>
      <c r="W72">
        <f t="shared" si="36"/>
        <v>0</v>
      </c>
      <c r="X72">
        <f t="shared" si="37"/>
        <v>0</v>
      </c>
      <c r="Y72">
        <f t="shared" si="38"/>
        <v>0</v>
      </c>
      <c r="Z72">
        <f t="shared" si="39"/>
        <v>0</v>
      </c>
      <c r="AA72">
        <f t="shared" si="40"/>
        <v>0</v>
      </c>
      <c r="AB72">
        <f t="shared" si="41"/>
        <v>0</v>
      </c>
      <c r="AC72">
        <f t="shared" si="42"/>
        <v>-1.1787744652789867E-2</v>
      </c>
      <c r="AD72">
        <f t="shared" si="43"/>
        <v>0</v>
      </c>
      <c r="AE72">
        <f t="shared" si="44"/>
        <v>0</v>
      </c>
      <c r="AF72">
        <f t="shared" si="45"/>
        <v>0</v>
      </c>
      <c r="AG72">
        <f t="shared" si="46"/>
        <v>0</v>
      </c>
      <c r="AH72">
        <f t="shared" si="47"/>
        <v>0</v>
      </c>
      <c r="AI72">
        <f t="shared" si="48"/>
        <v>0</v>
      </c>
    </row>
    <row r="73" spans="1:35" x14ac:dyDescent="0.3">
      <c r="A73" s="1" t="s">
        <v>15</v>
      </c>
      <c r="B73">
        <f t="shared" si="18"/>
        <v>0</v>
      </c>
      <c r="C73">
        <f t="shared" si="19"/>
        <v>0</v>
      </c>
      <c r="D73">
        <f t="shared" si="20"/>
        <v>0</v>
      </c>
      <c r="E73">
        <f t="shared" si="21"/>
        <v>0</v>
      </c>
      <c r="F73">
        <f t="shared" si="22"/>
        <v>0</v>
      </c>
      <c r="G73">
        <f t="shared" si="23"/>
        <v>0</v>
      </c>
      <c r="H73">
        <f t="shared" si="24"/>
        <v>0</v>
      </c>
      <c r="I73">
        <f t="shared" si="25"/>
        <v>0</v>
      </c>
      <c r="J73">
        <f t="shared" si="26"/>
        <v>0</v>
      </c>
      <c r="K73">
        <f t="shared" si="27"/>
        <v>1.8452334240693888</v>
      </c>
      <c r="L73">
        <f t="shared" si="28"/>
        <v>0</v>
      </c>
      <c r="M73">
        <f t="shared" si="29"/>
        <v>0</v>
      </c>
      <c r="N73">
        <f t="shared" si="30"/>
        <v>0</v>
      </c>
      <c r="O73">
        <f t="shared" si="31"/>
        <v>0</v>
      </c>
      <c r="P73">
        <f t="shared" si="32"/>
        <v>0</v>
      </c>
      <c r="Q73">
        <f t="shared" si="33"/>
        <v>0</v>
      </c>
      <c r="S73" s="1" t="s">
        <v>15</v>
      </c>
      <c r="T73">
        <f t="shared" si="49"/>
        <v>0</v>
      </c>
      <c r="U73">
        <f t="shared" si="34"/>
        <v>0</v>
      </c>
      <c r="V73">
        <f t="shared" si="35"/>
        <v>0</v>
      </c>
      <c r="W73">
        <f t="shared" si="36"/>
        <v>0</v>
      </c>
      <c r="X73">
        <f t="shared" si="37"/>
        <v>0</v>
      </c>
      <c r="Y73">
        <f t="shared" si="38"/>
        <v>0</v>
      </c>
      <c r="Z73">
        <f t="shared" si="39"/>
        <v>0</v>
      </c>
      <c r="AA73">
        <f t="shared" si="40"/>
        <v>0</v>
      </c>
      <c r="AB73">
        <f t="shared" si="41"/>
        <v>0</v>
      </c>
      <c r="AC73">
        <f t="shared" si="42"/>
        <v>1.5167861058637238</v>
      </c>
      <c r="AD73">
        <f t="shared" si="43"/>
        <v>0</v>
      </c>
      <c r="AE73">
        <f t="shared" si="44"/>
        <v>0</v>
      </c>
      <c r="AF73">
        <f t="shared" si="45"/>
        <v>0</v>
      </c>
      <c r="AG73">
        <f t="shared" si="46"/>
        <v>0</v>
      </c>
      <c r="AH73">
        <f t="shared" si="47"/>
        <v>0</v>
      </c>
      <c r="AI73">
        <f t="shared" si="48"/>
        <v>0</v>
      </c>
    </row>
    <row r="74" spans="1:35" x14ac:dyDescent="0.3">
      <c r="A74" s="1" t="s">
        <v>16</v>
      </c>
      <c r="B74">
        <f t="shared" si="18"/>
        <v>-1.0700770117996463</v>
      </c>
      <c r="C74">
        <f t="shared" si="19"/>
        <v>0</v>
      </c>
      <c r="D74">
        <f t="shared" si="20"/>
        <v>0</v>
      </c>
      <c r="E74">
        <f t="shared" si="21"/>
        <v>0</v>
      </c>
      <c r="F74">
        <f t="shared" si="22"/>
        <v>0</v>
      </c>
      <c r="G74">
        <f t="shared" si="23"/>
        <v>-4.0982375833812229E-2</v>
      </c>
      <c r="H74">
        <f t="shared" si="24"/>
        <v>0</v>
      </c>
      <c r="I74">
        <f t="shared" si="25"/>
        <v>0</v>
      </c>
      <c r="J74">
        <f t="shared" si="26"/>
        <v>0</v>
      </c>
      <c r="K74">
        <f t="shared" si="27"/>
        <v>0</v>
      </c>
      <c r="L74">
        <f t="shared" si="28"/>
        <v>5.6224788838426409E-2</v>
      </c>
      <c r="M74">
        <f t="shared" si="29"/>
        <v>0</v>
      </c>
      <c r="N74">
        <f t="shared" si="30"/>
        <v>0</v>
      </c>
      <c r="O74">
        <f t="shared" si="31"/>
        <v>0</v>
      </c>
      <c r="P74">
        <f t="shared" si="32"/>
        <v>0</v>
      </c>
      <c r="Q74">
        <f t="shared" si="33"/>
        <v>0</v>
      </c>
      <c r="S74" s="1" t="s">
        <v>16</v>
      </c>
      <c r="T74">
        <f t="shared" si="49"/>
        <v>-1.0651762760102221</v>
      </c>
      <c r="U74">
        <f t="shared" si="34"/>
        <v>0</v>
      </c>
      <c r="V74">
        <f t="shared" si="35"/>
        <v>0</v>
      </c>
      <c r="W74">
        <f t="shared" si="36"/>
        <v>0</v>
      </c>
      <c r="X74">
        <f t="shared" si="37"/>
        <v>0</v>
      </c>
      <c r="Y74">
        <f t="shared" si="38"/>
        <v>-3.729018668045625E-2</v>
      </c>
      <c r="Z74">
        <f t="shared" si="39"/>
        <v>0</v>
      </c>
      <c r="AA74">
        <f t="shared" si="40"/>
        <v>0</v>
      </c>
      <c r="AB74">
        <f t="shared" si="41"/>
        <v>0</v>
      </c>
      <c r="AC74">
        <f t="shared" si="42"/>
        <v>0</v>
      </c>
      <c r="AD74">
        <f t="shared" si="43"/>
        <v>0.12147099021611379</v>
      </c>
      <c r="AE74">
        <f t="shared" si="44"/>
        <v>0</v>
      </c>
      <c r="AF74">
        <f t="shared" si="45"/>
        <v>0</v>
      </c>
      <c r="AG74">
        <f t="shared" si="46"/>
        <v>0</v>
      </c>
      <c r="AH74">
        <f t="shared" si="47"/>
        <v>0</v>
      </c>
      <c r="AI74">
        <f t="shared" si="48"/>
        <v>0</v>
      </c>
    </row>
    <row r="75" spans="1:35" x14ac:dyDescent="0.3">
      <c r="A75" s="1" t="s">
        <v>17</v>
      </c>
      <c r="B75">
        <f t="shared" si="18"/>
        <v>1.540306680191071</v>
      </c>
      <c r="C75">
        <f t="shared" si="19"/>
        <v>0</v>
      </c>
      <c r="D75">
        <f t="shared" si="20"/>
        <v>0</v>
      </c>
      <c r="E75">
        <f t="shared" si="21"/>
        <v>0</v>
      </c>
      <c r="F75">
        <f t="shared" si="22"/>
        <v>0</v>
      </c>
      <c r="G75">
        <f t="shared" si="23"/>
        <v>0</v>
      </c>
      <c r="H75">
        <f t="shared" si="24"/>
        <v>0</v>
      </c>
      <c r="I75">
        <f t="shared" si="25"/>
        <v>0</v>
      </c>
      <c r="J75">
        <f t="shared" si="26"/>
        <v>0</v>
      </c>
      <c r="K75">
        <f t="shared" si="27"/>
        <v>0</v>
      </c>
      <c r="L75">
        <f t="shared" si="28"/>
        <v>0.29532175025177743</v>
      </c>
      <c r="M75">
        <f t="shared" si="29"/>
        <v>0</v>
      </c>
      <c r="N75">
        <f t="shared" si="30"/>
        <v>0</v>
      </c>
      <c r="O75">
        <f t="shared" si="31"/>
        <v>0</v>
      </c>
      <c r="P75">
        <f t="shared" si="32"/>
        <v>0</v>
      </c>
      <c r="Q75">
        <f t="shared" si="33"/>
        <v>0</v>
      </c>
      <c r="S75" s="1" t="s">
        <v>17</v>
      </c>
      <c r="T75">
        <f t="shared" si="49"/>
        <v>1.9340437475992489</v>
      </c>
      <c r="U75">
        <f t="shared" si="34"/>
        <v>0</v>
      </c>
      <c r="V75">
        <f t="shared" si="35"/>
        <v>0</v>
      </c>
      <c r="W75">
        <f t="shared" si="36"/>
        <v>0</v>
      </c>
      <c r="X75">
        <f t="shared" si="37"/>
        <v>0</v>
      </c>
      <c r="Y75">
        <f t="shared" si="38"/>
        <v>0</v>
      </c>
      <c r="Z75">
        <f t="shared" si="39"/>
        <v>0</v>
      </c>
      <c r="AA75">
        <f t="shared" si="40"/>
        <v>0</v>
      </c>
      <c r="AB75">
        <f t="shared" si="41"/>
        <v>0</v>
      </c>
      <c r="AC75">
        <f t="shared" si="42"/>
        <v>0</v>
      </c>
      <c r="AD75">
        <f t="shared" si="43"/>
        <v>0.35025297977697256</v>
      </c>
      <c r="AE75">
        <f t="shared" si="44"/>
        <v>0</v>
      </c>
      <c r="AF75">
        <f t="shared" si="45"/>
        <v>0</v>
      </c>
      <c r="AG75">
        <f t="shared" si="46"/>
        <v>0</v>
      </c>
      <c r="AH75">
        <f t="shared" si="47"/>
        <v>0</v>
      </c>
      <c r="AI75">
        <f t="shared" si="48"/>
        <v>0</v>
      </c>
    </row>
    <row r="76" spans="1:35" x14ac:dyDescent="0.3">
      <c r="A76" s="1" t="s">
        <v>18</v>
      </c>
      <c r="B76">
        <f t="shared" si="18"/>
        <v>0</v>
      </c>
      <c r="C76">
        <f t="shared" si="19"/>
        <v>0</v>
      </c>
      <c r="D76">
        <f t="shared" si="20"/>
        <v>0</v>
      </c>
      <c r="E76">
        <f t="shared" si="21"/>
        <v>0</v>
      </c>
      <c r="F76">
        <f t="shared" si="22"/>
        <v>1.0316879923518691</v>
      </c>
      <c r="G76">
        <f t="shared" si="23"/>
        <v>-0.23305083990270636</v>
      </c>
      <c r="H76">
        <f t="shared" si="24"/>
        <v>0</v>
      </c>
      <c r="I76">
        <f t="shared" si="25"/>
        <v>0</v>
      </c>
      <c r="J76">
        <f t="shared" si="26"/>
        <v>0</v>
      </c>
      <c r="K76">
        <f t="shared" si="27"/>
        <v>0</v>
      </c>
      <c r="L76">
        <f t="shared" si="28"/>
        <v>-0.78932127196884772</v>
      </c>
      <c r="M76">
        <f t="shared" si="29"/>
        <v>0</v>
      </c>
      <c r="N76">
        <f t="shared" si="30"/>
        <v>-0.82946411830929845</v>
      </c>
      <c r="O76">
        <f t="shared" si="31"/>
        <v>0</v>
      </c>
      <c r="P76">
        <f t="shared" si="32"/>
        <v>0</v>
      </c>
      <c r="Q76">
        <f t="shared" si="33"/>
        <v>0</v>
      </c>
      <c r="S76" s="1" t="s">
        <v>18</v>
      </c>
      <c r="T76">
        <f t="shared" si="49"/>
        <v>0</v>
      </c>
      <c r="U76">
        <f t="shared" si="34"/>
        <v>0</v>
      </c>
      <c r="V76">
        <f t="shared" si="35"/>
        <v>0</v>
      </c>
      <c r="W76">
        <f t="shared" si="36"/>
        <v>0</v>
      </c>
      <c r="X76">
        <f t="shared" si="37"/>
        <v>0.87758487497654603</v>
      </c>
      <c r="Y76">
        <f t="shared" si="38"/>
        <v>-0.19047393433407719</v>
      </c>
      <c r="Z76">
        <f t="shared" si="39"/>
        <v>0</v>
      </c>
      <c r="AA76">
        <f t="shared" si="40"/>
        <v>0</v>
      </c>
      <c r="AB76">
        <f t="shared" si="41"/>
        <v>0</v>
      </c>
      <c r="AC76">
        <f t="shared" si="42"/>
        <v>0</v>
      </c>
      <c r="AD76">
        <f t="shared" si="43"/>
        <v>-0.55437201115970691</v>
      </c>
      <c r="AE76">
        <f t="shared" si="44"/>
        <v>0</v>
      </c>
      <c r="AF76">
        <f t="shared" si="45"/>
        <v>-0.97919910037317703</v>
      </c>
      <c r="AG76">
        <f t="shared" si="46"/>
        <v>0</v>
      </c>
      <c r="AH76">
        <f t="shared" si="47"/>
        <v>0</v>
      </c>
      <c r="AI76">
        <f t="shared" si="48"/>
        <v>0</v>
      </c>
    </row>
    <row r="77" spans="1:35" x14ac:dyDescent="0.3">
      <c r="A77" s="1" t="s">
        <v>19</v>
      </c>
      <c r="B77">
        <f t="shared" si="18"/>
        <v>0</v>
      </c>
      <c r="C77">
        <f t="shared" si="19"/>
        <v>0</v>
      </c>
      <c r="D77">
        <f t="shared" si="20"/>
        <v>0</v>
      </c>
      <c r="E77">
        <f t="shared" si="21"/>
        <v>0</v>
      </c>
      <c r="F77">
        <f t="shared" si="22"/>
        <v>0</v>
      </c>
      <c r="G77">
        <f t="shared" si="23"/>
        <v>0</v>
      </c>
      <c r="H77">
        <f t="shared" si="24"/>
        <v>0</v>
      </c>
      <c r="I77">
        <f t="shared" si="25"/>
        <v>0</v>
      </c>
      <c r="J77">
        <f t="shared" si="26"/>
        <v>0</v>
      </c>
      <c r="K77">
        <f t="shared" si="27"/>
        <v>0.35816748932859194</v>
      </c>
      <c r="L77">
        <f t="shared" si="28"/>
        <v>-1.1600947997544833</v>
      </c>
      <c r="M77">
        <f t="shared" si="29"/>
        <v>0</v>
      </c>
      <c r="N77">
        <f t="shared" si="30"/>
        <v>-0.90846645694692463</v>
      </c>
      <c r="O77">
        <f t="shared" si="31"/>
        <v>0</v>
      </c>
      <c r="P77">
        <f t="shared" si="32"/>
        <v>0</v>
      </c>
      <c r="Q77">
        <f t="shared" si="33"/>
        <v>0</v>
      </c>
      <c r="S77" s="1" t="s">
        <v>19</v>
      </c>
      <c r="T77">
        <f t="shared" si="49"/>
        <v>0</v>
      </c>
      <c r="U77">
        <f t="shared" si="34"/>
        <v>0</v>
      </c>
      <c r="V77">
        <f t="shared" si="35"/>
        <v>0</v>
      </c>
      <c r="W77">
        <f t="shared" si="36"/>
        <v>0</v>
      </c>
      <c r="X77">
        <f t="shared" si="37"/>
        <v>0</v>
      </c>
      <c r="Y77">
        <f t="shared" si="38"/>
        <v>0</v>
      </c>
      <c r="Z77">
        <f t="shared" si="39"/>
        <v>0</v>
      </c>
      <c r="AA77">
        <f t="shared" si="40"/>
        <v>0</v>
      </c>
      <c r="AB77">
        <f t="shared" si="41"/>
        <v>0</v>
      </c>
      <c r="AC77">
        <f t="shared" si="42"/>
        <v>0.38538314527800388</v>
      </c>
      <c r="AD77">
        <f t="shared" si="43"/>
        <v>-1.2550287251237207</v>
      </c>
      <c r="AE77">
        <f t="shared" si="44"/>
        <v>0</v>
      </c>
      <c r="AF77">
        <f t="shared" si="45"/>
        <v>-0.82247659985938282</v>
      </c>
      <c r="AG77">
        <f t="shared" si="46"/>
        <v>0</v>
      </c>
      <c r="AH77">
        <f t="shared" si="47"/>
        <v>0</v>
      </c>
      <c r="AI77">
        <f t="shared" si="48"/>
        <v>0</v>
      </c>
    </row>
    <row r="78" spans="1:35" x14ac:dyDescent="0.3">
      <c r="A78" s="1" t="s">
        <v>20</v>
      </c>
      <c r="B78">
        <f t="shared" si="18"/>
        <v>0</v>
      </c>
      <c r="C78">
        <f t="shared" si="19"/>
        <v>0</v>
      </c>
      <c r="D78">
        <f t="shared" si="20"/>
        <v>0</v>
      </c>
      <c r="E78">
        <f t="shared" si="21"/>
        <v>0</v>
      </c>
      <c r="F78">
        <f t="shared" si="22"/>
        <v>0</v>
      </c>
      <c r="G78">
        <f t="shared" si="23"/>
        <v>0</v>
      </c>
      <c r="H78">
        <f t="shared" si="24"/>
        <v>0</v>
      </c>
      <c r="I78">
        <f t="shared" si="25"/>
        <v>0</v>
      </c>
      <c r="J78">
        <f t="shared" si="26"/>
        <v>0</v>
      </c>
      <c r="K78">
        <f t="shared" si="27"/>
        <v>0</v>
      </c>
      <c r="L78">
        <f t="shared" si="28"/>
        <v>0</v>
      </c>
      <c r="M78">
        <f t="shared" si="29"/>
        <v>0</v>
      </c>
      <c r="N78">
        <f t="shared" si="30"/>
        <v>0</v>
      </c>
      <c r="O78">
        <f t="shared" si="31"/>
        <v>0</v>
      </c>
      <c r="P78">
        <f t="shared" si="32"/>
        <v>0</v>
      </c>
      <c r="Q78">
        <f t="shared" si="33"/>
        <v>0</v>
      </c>
      <c r="S78" s="1" t="s">
        <v>20</v>
      </c>
      <c r="T78">
        <f t="shared" si="49"/>
        <v>0</v>
      </c>
      <c r="U78">
        <f t="shared" si="34"/>
        <v>0</v>
      </c>
      <c r="V78">
        <f t="shared" si="35"/>
        <v>0</v>
      </c>
      <c r="W78">
        <f t="shared" si="36"/>
        <v>0</v>
      </c>
      <c r="X78">
        <f t="shared" si="37"/>
        <v>0</v>
      </c>
      <c r="Y78">
        <f t="shared" si="38"/>
        <v>0</v>
      </c>
      <c r="Z78">
        <f t="shared" si="39"/>
        <v>0</v>
      </c>
      <c r="AA78">
        <f t="shared" si="40"/>
        <v>0</v>
      </c>
      <c r="AB78">
        <f t="shared" si="41"/>
        <v>0</v>
      </c>
      <c r="AC78">
        <f t="shared" si="42"/>
        <v>0</v>
      </c>
      <c r="AD78">
        <f t="shared" si="43"/>
        <v>0</v>
      </c>
      <c r="AE78">
        <f t="shared" si="44"/>
        <v>0</v>
      </c>
      <c r="AF78">
        <f t="shared" si="45"/>
        <v>0</v>
      </c>
      <c r="AG78">
        <f t="shared" si="46"/>
        <v>0</v>
      </c>
      <c r="AH78">
        <f t="shared" si="47"/>
        <v>0</v>
      </c>
      <c r="AI78">
        <f t="shared" si="48"/>
        <v>0</v>
      </c>
    </row>
    <row r="80" spans="1:35" x14ac:dyDescent="0.3">
      <c r="A80" s="22" t="s">
        <v>27</v>
      </c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S80" s="22" t="s">
        <v>27</v>
      </c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</row>
    <row r="81" spans="1:30" x14ac:dyDescent="0.3">
      <c r="A81" s="1" t="s">
        <v>39</v>
      </c>
      <c r="B81">
        <f>AVERAGE(B63:Q78)</f>
        <v>-1.686393480216492E-4</v>
      </c>
      <c r="C81" t="s">
        <v>40</v>
      </c>
      <c r="D81">
        <f>MEDIAN(B63:Q78)</f>
        <v>0</v>
      </c>
      <c r="E81" t="s">
        <v>43</v>
      </c>
      <c r="F81">
        <f>MIN(B63:Q78)</f>
        <v>-3.1668700659618665</v>
      </c>
      <c r="G81" t="s">
        <v>44</v>
      </c>
      <c r="H81">
        <f>MAX(B63:Q78)</f>
        <v>4.2931264533427349</v>
      </c>
      <c r="I81" t="s">
        <v>41</v>
      </c>
      <c r="J81" cm="1">
        <f t="array" ref="J81">MIN(IF(B63:P77&lt;&gt;0,ABS(B63:P77)))</f>
        <v>7.3735659563563261E-3</v>
      </c>
      <c r="K81" t="s">
        <v>42</v>
      </c>
      <c r="L81" cm="1">
        <f t="array" ref="L81">MAX(ABS(B63:Q78))</f>
        <v>4.2931264533427349</v>
      </c>
      <c r="S81" s="1" t="s">
        <v>39</v>
      </c>
      <c r="T81">
        <f>AVERAGE(T63:AI78)</f>
        <v>-2.5155301628846081E-2</v>
      </c>
      <c r="U81" t="s">
        <v>40</v>
      </c>
      <c r="V81">
        <f>MEDIAN(T63:AI78)</f>
        <v>0</v>
      </c>
      <c r="W81" t="s">
        <v>43</v>
      </c>
      <c r="X81">
        <f>MIN(T63:AI78)</f>
        <v>-4.6944387946323305</v>
      </c>
      <c r="Y81" t="s">
        <v>44</v>
      </c>
      <c r="Z81">
        <f>MAX(T63:AI78)</f>
        <v>3.9871841006252708</v>
      </c>
      <c r="AA81" t="s">
        <v>41</v>
      </c>
      <c r="AB81" cm="1">
        <f t="array" ref="AB81">MIN(IF(T63:AH77&lt;&gt;0,ABS(T63:AH77)))</f>
        <v>4.3966826350113897E-3</v>
      </c>
      <c r="AC81" t="s">
        <v>42</v>
      </c>
      <c r="AD81" cm="1">
        <f t="array" ref="AD81">MAX(ABS(T63:AI78))</f>
        <v>4.6944387946323305</v>
      </c>
    </row>
    <row r="84" spans="1:30" x14ac:dyDescent="0.3">
      <c r="A84" s="22" t="s">
        <v>36</v>
      </c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</row>
    <row r="85" spans="1:30" x14ac:dyDescent="0.3">
      <c r="A85" s="1" t="s">
        <v>32</v>
      </c>
      <c r="B85" s="1" t="s">
        <v>5</v>
      </c>
      <c r="C85" s="1" t="s">
        <v>6</v>
      </c>
      <c r="D85" s="1" t="s">
        <v>7</v>
      </c>
      <c r="E85" s="1" t="s">
        <v>8</v>
      </c>
      <c r="F85" s="1" t="s">
        <v>9</v>
      </c>
      <c r="G85" s="1" t="s">
        <v>10</v>
      </c>
      <c r="H85" s="1" t="s">
        <v>11</v>
      </c>
      <c r="I85" s="1" t="s">
        <v>12</v>
      </c>
      <c r="J85" s="1" t="s">
        <v>13</v>
      </c>
      <c r="K85" s="1" t="s">
        <v>14</v>
      </c>
      <c r="L85" s="1" t="s">
        <v>15</v>
      </c>
      <c r="M85" s="1" t="s">
        <v>16</v>
      </c>
      <c r="N85" s="1" t="s">
        <v>17</v>
      </c>
      <c r="O85" s="1" t="s">
        <v>18</v>
      </c>
      <c r="P85" s="1" t="s">
        <v>19</v>
      </c>
      <c r="Q85" s="1" t="s">
        <v>20</v>
      </c>
    </row>
    <row r="86" spans="1:30" x14ac:dyDescent="0.3">
      <c r="A86" s="1" t="s">
        <v>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</row>
    <row r="87" spans="1:30" x14ac:dyDescent="0.3">
      <c r="A87" s="1" t="s">
        <v>6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1.3199740696025577</v>
      </c>
    </row>
    <row r="88" spans="1:30" x14ac:dyDescent="0.3">
      <c r="A88" s="1" t="s">
        <v>7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2.8902215235508077E-2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</row>
    <row r="89" spans="1:30" x14ac:dyDescent="0.3">
      <c r="A89" s="1" t="s">
        <v>8</v>
      </c>
      <c r="B89" s="1">
        <v>2.0200715706918619</v>
      </c>
      <c r="C89" s="1">
        <v>0</v>
      </c>
      <c r="D89" s="1">
        <v>0</v>
      </c>
      <c r="E89" s="1">
        <v>0</v>
      </c>
      <c r="F89" s="1">
        <v>0</v>
      </c>
      <c r="G89" s="1">
        <v>-0.14099358814920837</v>
      </c>
      <c r="H89" s="1">
        <v>0</v>
      </c>
      <c r="I89" s="1">
        <v>0</v>
      </c>
      <c r="J89" s="1">
        <v>0</v>
      </c>
      <c r="K89" s="1">
        <v>7.9349428392256949E-2</v>
      </c>
      <c r="L89" s="4">
        <v>0.13319455305803404</v>
      </c>
      <c r="M89" s="1">
        <v>0</v>
      </c>
      <c r="N89" s="1">
        <v>0</v>
      </c>
      <c r="O89" s="1">
        <v>-0.23268515382085403</v>
      </c>
      <c r="P89" s="1">
        <v>0</v>
      </c>
      <c r="Q89" s="1">
        <v>0</v>
      </c>
    </row>
    <row r="90" spans="1:30" x14ac:dyDescent="0.3">
      <c r="A90" s="1" t="s">
        <v>9</v>
      </c>
      <c r="B90" s="1">
        <v>1.2284880154419107</v>
      </c>
      <c r="C90" s="1">
        <v>-1.3157749871360731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-0.98403804703201214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</row>
    <row r="91" spans="1:30" x14ac:dyDescent="0.3">
      <c r="A91" s="1" t="s">
        <v>10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4">
        <v>-9.174691420589634E-2</v>
      </c>
      <c r="L91" s="4">
        <v>2.0648822628010128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</row>
    <row r="92" spans="1:30" x14ac:dyDescent="0.3">
      <c r="A92" s="1" t="s">
        <v>11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0.78183054500260996</v>
      </c>
      <c r="J92" s="1">
        <v>0.30496366217554438</v>
      </c>
      <c r="K92" s="1">
        <v>-9.8709125994899203E-3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</row>
    <row r="93" spans="1:30" x14ac:dyDescent="0.3">
      <c r="A93" s="1" t="s">
        <v>12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4">
        <v>0.39465841365964494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1.2515081041636213</v>
      </c>
      <c r="P93" s="1">
        <v>0</v>
      </c>
      <c r="Q93" s="1">
        <v>0</v>
      </c>
    </row>
    <row r="94" spans="1:30" x14ac:dyDescent="0.3">
      <c r="A94" s="1" t="s">
        <v>13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0.21224270322142563</v>
      </c>
      <c r="H94" s="1">
        <v>0</v>
      </c>
      <c r="I94" s="1">
        <v>0</v>
      </c>
      <c r="J94" s="1">
        <v>0</v>
      </c>
      <c r="K94" s="4">
        <v>0.75809953016174658</v>
      </c>
      <c r="L94" s="4">
        <v>-3.3929609397907421</v>
      </c>
      <c r="M94" s="1">
        <v>0</v>
      </c>
      <c r="N94" s="1">
        <v>-2.4934482612160838</v>
      </c>
      <c r="O94" s="1">
        <v>0</v>
      </c>
      <c r="P94" s="1">
        <v>0</v>
      </c>
      <c r="Q94" s="1">
        <v>0</v>
      </c>
    </row>
    <row r="95" spans="1:30" x14ac:dyDescent="0.3">
      <c r="A95" s="1" t="s">
        <v>14</v>
      </c>
      <c r="B95" s="1">
        <v>-0.9001239487482976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0.45623565633524454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</row>
    <row r="96" spans="1:30" x14ac:dyDescent="0.3">
      <c r="A96" s="1" t="s">
        <v>15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0.27748817298419048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</row>
    <row r="97" spans="1:17" x14ac:dyDescent="0.3">
      <c r="A97" s="1" t="s">
        <v>16</v>
      </c>
      <c r="B97" s="1">
        <v>1.5462420949658997</v>
      </c>
      <c r="C97" s="1">
        <v>0</v>
      </c>
      <c r="D97" s="1">
        <v>0</v>
      </c>
      <c r="E97" s="1">
        <v>0</v>
      </c>
      <c r="F97" s="1">
        <v>0</v>
      </c>
      <c r="G97" s="4">
        <v>3.4791376639533387E-3</v>
      </c>
      <c r="H97" s="1">
        <v>0</v>
      </c>
      <c r="I97" s="1">
        <v>0</v>
      </c>
      <c r="J97" s="1">
        <v>0</v>
      </c>
      <c r="K97" s="1">
        <v>0</v>
      </c>
      <c r="L97" s="1">
        <v>0.52124141527266721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</row>
    <row r="98" spans="1:17" x14ac:dyDescent="0.3">
      <c r="A98" s="1" t="s">
        <v>17</v>
      </c>
      <c r="B98" s="1">
        <v>-2.8801046424523529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-0.9118449402247395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</row>
    <row r="99" spans="1:17" x14ac:dyDescent="0.3">
      <c r="A99" s="1" t="s">
        <v>18</v>
      </c>
      <c r="B99" s="1">
        <v>0</v>
      </c>
      <c r="C99" s="1">
        <v>0</v>
      </c>
      <c r="D99" s="1">
        <v>0</v>
      </c>
      <c r="E99" s="1">
        <v>0</v>
      </c>
      <c r="F99" s="1">
        <v>-2.8234094284759146</v>
      </c>
      <c r="G99" s="1">
        <v>0.40039476132408958</v>
      </c>
      <c r="H99" s="1">
        <v>0</v>
      </c>
      <c r="I99" s="1">
        <v>0</v>
      </c>
      <c r="J99" s="1">
        <v>0</v>
      </c>
      <c r="K99" s="1">
        <v>0</v>
      </c>
      <c r="L99" s="1">
        <v>0.82784822185505447</v>
      </c>
      <c r="M99" s="1">
        <v>0</v>
      </c>
      <c r="N99" s="1">
        <v>1.0993183192541258</v>
      </c>
      <c r="O99" s="1">
        <v>0</v>
      </c>
      <c r="P99" s="1">
        <v>0</v>
      </c>
      <c r="Q99" s="1">
        <v>0</v>
      </c>
    </row>
    <row r="100" spans="1:17" x14ac:dyDescent="0.3">
      <c r="A100" s="1" t="s">
        <v>19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0.28082130212090012</v>
      </c>
      <c r="L100" s="4">
        <v>0.16790715346952392</v>
      </c>
      <c r="M100" s="1">
        <v>0</v>
      </c>
      <c r="N100" s="1">
        <v>1.5936610631477102</v>
      </c>
      <c r="O100" s="1">
        <v>0</v>
      </c>
      <c r="P100" s="1">
        <v>0</v>
      </c>
      <c r="Q100" s="1">
        <v>0</v>
      </c>
    </row>
    <row r="101" spans="1:17" x14ac:dyDescent="0.3">
      <c r="A101" s="1" t="s">
        <v>20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</row>
    <row r="103" spans="1:17" ht="15" thickBot="1" x14ac:dyDescent="0.35"/>
    <row r="104" spans="1:17" ht="15" thickBot="1" x14ac:dyDescent="0.35">
      <c r="A104" s="26" t="s">
        <v>75</v>
      </c>
      <c r="B104" s="27" t="s">
        <v>76</v>
      </c>
      <c r="C104" t="s">
        <v>77</v>
      </c>
      <c r="F104" s="26"/>
      <c r="G104" s="27"/>
    </row>
    <row r="105" spans="1:17" ht="15" thickBot="1" x14ac:dyDescent="0.35">
      <c r="A105" s="28" t="s">
        <v>5</v>
      </c>
      <c r="B105" s="29" t="s">
        <v>8</v>
      </c>
      <c r="C105">
        <f>B89</f>
        <v>2.0200715706918619</v>
      </c>
      <c r="F105" s="28"/>
      <c r="G105" s="29"/>
    </row>
    <row r="106" spans="1:17" ht="15" thickBot="1" x14ac:dyDescent="0.35">
      <c r="A106" s="28" t="s">
        <v>5</v>
      </c>
      <c r="B106" s="29" t="s">
        <v>9</v>
      </c>
      <c r="C106">
        <f>B90</f>
        <v>1.2284880154419107</v>
      </c>
      <c r="F106" s="28"/>
      <c r="G106" s="29"/>
    </row>
    <row r="107" spans="1:17" ht="15" thickBot="1" x14ac:dyDescent="0.35">
      <c r="A107" s="28" t="s">
        <v>5</v>
      </c>
      <c r="B107" s="29" t="s">
        <v>14</v>
      </c>
      <c r="C107">
        <f>B95</f>
        <v>-0.9001239487482976</v>
      </c>
      <c r="F107" s="28"/>
      <c r="G107" s="29"/>
    </row>
    <row r="108" spans="1:17" ht="15" thickBot="1" x14ac:dyDescent="0.35">
      <c r="A108" s="28" t="s">
        <v>5</v>
      </c>
      <c r="B108" s="29" t="s">
        <v>16</v>
      </c>
      <c r="C108">
        <f>B97</f>
        <v>1.5462420949658997</v>
      </c>
      <c r="F108" s="28"/>
      <c r="G108" s="29"/>
    </row>
    <row r="109" spans="1:17" ht="15" thickBot="1" x14ac:dyDescent="0.35">
      <c r="A109" s="28" t="s">
        <v>5</v>
      </c>
      <c r="B109" s="29" t="s">
        <v>17</v>
      </c>
      <c r="C109">
        <f>B98</f>
        <v>-2.8801046424523529</v>
      </c>
      <c r="F109" s="28"/>
      <c r="G109" s="29"/>
    </row>
    <row r="110" spans="1:17" ht="15" thickBot="1" x14ac:dyDescent="0.35">
      <c r="A110" s="28" t="s">
        <v>6</v>
      </c>
      <c r="B110" s="29" t="s">
        <v>9</v>
      </c>
      <c r="C110">
        <f>C90</f>
        <v>-1.3157749871360731</v>
      </c>
      <c r="F110" s="28"/>
      <c r="G110" s="29"/>
    </row>
    <row r="111" spans="1:17" ht="15" thickBot="1" x14ac:dyDescent="0.35">
      <c r="A111" s="28" t="s">
        <v>9</v>
      </c>
      <c r="B111" s="29" t="s">
        <v>18</v>
      </c>
      <c r="C111">
        <f>F99</f>
        <v>-2.8234094284759146</v>
      </c>
      <c r="F111" s="28"/>
      <c r="G111" s="29"/>
    </row>
    <row r="112" spans="1:17" ht="15" thickBot="1" x14ac:dyDescent="0.35">
      <c r="A112" s="28" t="s">
        <v>10</v>
      </c>
      <c r="B112" s="29" t="s">
        <v>8</v>
      </c>
      <c r="C112">
        <f>G89</f>
        <v>-0.14099358814920837</v>
      </c>
      <c r="F112" s="28"/>
      <c r="G112" s="29"/>
    </row>
    <row r="113" spans="1:7" ht="15" thickBot="1" x14ac:dyDescent="0.35">
      <c r="A113" s="28" t="s">
        <v>10</v>
      </c>
      <c r="B113" s="29" t="s">
        <v>13</v>
      </c>
      <c r="C113">
        <f>G94</f>
        <v>0.21224270322142563</v>
      </c>
      <c r="F113" s="28"/>
      <c r="G113" s="29"/>
    </row>
    <row r="114" spans="1:7" ht="15" thickBot="1" x14ac:dyDescent="0.35">
      <c r="A114" s="28" t="s">
        <v>10</v>
      </c>
      <c r="B114" s="29" t="s">
        <v>16</v>
      </c>
      <c r="C114">
        <f>G97</f>
        <v>3.4791376639533387E-3</v>
      </c>
      <c r="F114" s="28"/>
      <c r="G114" s="29"/>
    </row>
    <row r="115" spans="1:7" ht="15" thickBot="1" x14ac:dyDescent="0.35">
      <c r="A115" s="28" t="s">
        <v>10</v>
      </c>
      <c r="B115" s="29" t="s">
        <v>18</v>
      </c>
      <c r="C115">
        <f>G99</f>
        <v>0.40039476132408958</v>
      </c>
      <c r="F115" s="28"/>
      <c r="G115" s="29"/>
    </row>
    <row r="116" spans="1:7" ht="15" thickBot="1" x14ac:dyDescent="0.35">
      <c r="A116" s="28" t="s">
        <v>11</v>
      </c>
      <c r="B116" s="29" t="s">
        <v>12</v>
      </c>
      <c r="C116">
        <f>H93</f>
        <v>0.39465841365964494</v>
      </c>
      <c r="F116" s="28"/>
      <c r="G116" s="29"/>
    </row>
    <row r="117" spans="1:7" ht="15" thickBot="1" x14ac:dyDescent="0.35">
      <c r="A117" s="28" t="s">
        <v>12</v>
      </c>
      <c r="B117" s="29" t="s">
        <v>11</v>
      </c>
      <c r="C117">
        <f>I92</f>
        <v>0.78183054500260996</v>
      </c>
      <c r="F117" s="28"/>
      <c r="G117" s="29"/>
    </row>
    <row r="118" spans="1:7" ht="15" thickBot="1" x14ac:dyDescent="0.35">
      <c r="A118" s="28" t="s">
        <v>13</v>
      </c>
      <c r="B118" s="29" t="s">
        <v>11</v>
      </c>
      <c r="C118">
        <f>J92</f>
        <v>0.30496366217554438</v>
      </c>
      <c r="F118" s="28"/>
      <c r="G118" s="29"/>
    </row>
    <row r="119" spans="1:7" ht="15" thickBot="1" x14ac:dyDescent="0.35">
      <c r="A119" s="28" t="s">
        <v>14</v>
      </c>
      <c r="B119" s="29" t="s">
        <v>8</v>
      </c>
      <c r="C119">
        <f>K89</f>
        <v>7.9349428392256949E-2</v>
      </c>
      <c r="F119" s="28"/>
      <c r="G119" s="29"/>
    </row>
    <row r="120" spans="1:7" ht="15" thickBot="1" x14ac:dyDescent="0.35">
      <c r="A120" s="28" t="s">
        <v>14</v>
      </c>
      <c r="B120" s="29" t="s">
        <v>10</v>
      </c>
      <c r="C120">
        <f>K91</f>
        <v>-9.174691420589634E-2</v>
      </c>
      <c r="F120" s="28"/>
      <c r="G120" s="29"/>
    </row>
    <row r="121" spans="1:7" ht="15" thickBot="1" x14ac:dyDescent="0.35">
      <c r="A121" s="28" t="s">
        <v>14</v>
      </c>
      <c r="B121" s="29" t="s">
        <v>11</v>
      </c>
      <c r="C121">
        <f>K92</f>
        <v>-9.8709125994899203E-3</v>
      </c>
      <c r="F121" s="28"/>
      <c r="G121" s="29"/>
    </row>
    <row r="122" spans="1:7" ht="15" thickBot="1" x14ac:dyDescent="0.35">
      <c r="A122" s="28" t="s">
        <v>14</v>
      </c>
      <c r="B122" s="29" t="s">
        <v>13</v>
      </c>
      <c r="C122">
        <f>K94</f>
        <v>0.75809953016174658</v>
      </c>
      <c r="F122" s="28"/>
      <c r="G122" s="29"/>
    </row>
    <row r="123" spans="1:7" ht="15" thickBot="1" x14ac:dyDescent="0.35">
      <c r="A123" s="28" t="s">
        <v>14</v>
      </c>
      <c r="B123" s="29" t="s">
        <v>14</v>
      </c>
      <c r="C123">
        <f>K95</f>
        <v>0.45623565633524454</v>
      </c>
      <c r="F123" s="28"/>
      <c r="G123" s="29"/>
    </row>
    <row r="124" spans="1:7" ht="15" thickBot="1" x14ac:dyDescent="0.35">
      <c r="A124" s="28" t="s">
        <v>14</v>
      </c>
      <c r="B124" s="29" t="s">
        <v>15</v>
      </c>
      <c r="C124">
        <f>K96</f>
        <v>0.27748817298419048</v>
      </c>
      <c r="F124" s="28"/>
      <c r="G124" s="29"/>
    </row>
    <row r="125" spans="1:7" ht="15" thickBot="1" x14ac:dyDescent="0.35">
      <c r="A125" s="28" t="s">
        <v>14</v>
      </c>
      <c r="B125" s="29" t="s">
        <v>19</v>
      </c>
      <c r="C125">
        <f>K100</f>
        <v>0.28082130212090012</v>
      </c>
      <c r="F125" s="28"/>
      <c r="G125" s="29"/>
    </row>
    <row r="126" spans="1:7" ht="15" thickBot="1" x14ac:dyDescent="0.35">
      <c r="A126" s="28" t="s">
        <v>15</v>
      </c>
      <c r="B126" s="29" t="s">
        <v>7</v>
      </c>
      <c r="C126">
        <f>L88</f>
        <v>2.8902215235508077E-2</v>
      </c>
      <c r="F126" s="28"/>
      <c r="G126" s="29"/>
    </row>
    <row r="127" spans="1:7" ht="15" thickBot="1" x14ac:dyDescent="0.35">
      <c r="A127" s="28" t="s">
        <v>15</v>
      </c>
      <c r="B127" s="29" t="s">
        <v>8</v>
      </c>
      <c r="C127">
        <f>L89</f>
        <v>0.13319455305803404</v>
      </c>
      <c r="F127" s="28"/>
      <c r="G127" s="29"/>
    </row>
    <row r="128" spans="1:7" ht="15" thickBot="1" x14ac:dyDescent="0.35">
      <c r="A128" s="28" t="s">
        <v>15</v>
      </c>
      <c r="B128" s="29" t="s">
        <v>9</v>
      </c>
      <c r="C128">
        <f>L90</f>
        <v>-0.98403804703201214</v>
      </c>
      <c r="F128" s="28"/>
      <c r="G128" s="29"/>
    </row>
    <row r="129" spans="1:11" ht="15" thickBot="1" x14ac:dyDescent="0.35">
      <c r="A129" s="28" t="s">
        <v>15</v>
      </c>
      <c r="B129" s="29" t="s">
        <v>10</v>
      </c>
      <c r="C129">
        <f>L91</f>
        <v>2.0648822628010128</v>
      </c>
      <c r="F129" s="28"/>
      <c r="G129" s="29"/>
    </row>
    <row r="130" spans="1:11" ht="15" thickBot="1" x14ac:dyDescent="0.35">
      <c r="A130" s="28" t="s">
        <v>15</v>
      </c>
      <c r="B130" s="29" t="s">
        <v>13</v>
      </c>
      <c r="C130">
        <f>L94</f>
        <v>-3.3929609397907421</v>
      </c>
      <c r="F130" s="28"/>
      <c r="G130" s="29"/>
    </row>
    <row r="131" spans="1:11" ht="15" thickBot="1" x14ac:dyDescent="0.35">
      <c r="A131" s="28" t="s">
        <v>15</v>
      </c>
      <c r="B131" s="29" t="s">
        <v>16</v>
      </c>
      <c r="C131">
        <f>L97</f>
        <v>0.52124141527266721</v>
      </c>
      <c r="F131" s="28"/>
      <c r="G131" s="29"/>
    </row>
    <row r="132" spans="1:11" ht="15" thickBot="1" x14ac:dyDescent="0.35">
      <c r="A132" s="28" t="s">
        <v>15</v>
      </c>
      <c r="B132" s="29" t="s">
        <v>17</v>
      </c>
      <c r="C132">
        <f>L98</f>
        <v>-0.9118449402247395</v>
      </c>
      <c r="F132" s="28"/>
      <c r="G132" s="29"/>
    </row>
    <row r="133" spans="1:11" ht="15" thickBot="1" x14ac:dyDescent="0.35">
      <c r="A133" s="28" t="s">
        <v>15</v>
      </c>
      <c r="B133" s="29" t="s">
        <v>18</v>
      </c>
      <c r="C133">
        <f>L99</f>
        <v>0.82784822185505447</v>
      </c>
      <c r="F133" s="28"/>
      <c r="G133" s="29"/>
    </row>
    <row r="134" spans="1:11" ht="15" thickBot="1" x14ac:dyDescent="0.35">
      <c r="A134" s="28" t="s">
        <v>15</v>
      </c>
      <c r="B134" s="29" t="s">
        <v>19</v>
      </c>
      <c r="C134">
        <f>L100</f>
        <v>0.16790715346952392</v>
      </c>
      <c r="F134" s="28"/>
      <c r="G134" s="29"/>
    </row>
    <row r="135" spans="1:11" ht="15" thickBot="1" x14ac:dyDescent="0.35">
      <c r="A135" s="28" t="s">
        <v>17</v>
      </c>
      <c r="B135" s="29" t="s">
        <v>13</v>
      </c>
      <c r="C135">
        <f>N94</f>
        <v>-2.4934482612160838</v>
      </c>
      <c r="F135" s="28"/>
      <c r="G135" s="29"/>
    </row>
    <row r="136" spans="1:11" ht="15" thickBot="1" x14ac:dyDescent="0.35">
      <c r="A136" s="28" t="s">
        <v>17</v>
      </c>
      <c r="B136" s="29" t="s">
        <v>18</v>
      </c>
      <c r="C136">
        <f>N99</f>
        <v>1.0993183192541258</v>
      </c>
      <c r="F136" s="28"/>
      <c r="G136" s="29"/>
    </row>
    <row r="137" spans="1:11" ht="15" thickBot="1" x14ac:dyDescent="0.35">
      <c r="A137" s="28" t="s">
        <v>17</v>
      </c>
      <c r="B137" s="29" t="s">
        <v>19</v>
      </c>
      <c r="C137">
        <f>N100</f>
        <v>1.5936610631477102</v>
      </c>
      <c r="F137" s="28"/>
      <c r="G137" s="29"/>
    </row>
    <row r="138" spans="1:11" ht="15" thickBot="1" x14ac:dyDescent="0.35">
      <c r="A138" s="28" t="s">
        <v>18</v>
      </c>
      <c r="B138" s="29" t="s">
        <v>8</v>
      </c>
      <c r="C138">
        <f>O89</f>
        <v>-0.23268515382085403</v>
      </c>
      <c r="F138" s="28"/>
      <c r="G138" s="29"/>
    </row>
    <row r="139" spans="1:11" ht="15" thickBot="1" x14ac:dyDescent="0.35">
      <c r="A139" s="28" t="s">
        <v>18</v>
      </c>
      <c r="B139" s="29" t="s">
        <v>12</v>
      </c>
      <c r="C139">
        <f>O93</f>
        <v>1.2515081041636213</v>
      </c>
    </row>
    <row r="140" spans="1:11" x14ac:dyDescent="0.3">
      <c r="A140" s="30" t="s">
        <v>20</v>
      </c>
      <c r="B140" s="31" t="s">
        <v>6</v>
      </c>
      <c r="C140">
        <f>Q87</f>
        <v>1.3199740696025577</v>
      </c>
    </row>
    <row r="141" spans="1:11" ht="15" thickBot="1" x14ac:dyDescent="0.35"/>
    <row r="142" spans="1:11" ht="53.4" customHeight="1" thickBot="1" x14ac:dyDescent="0.35">
      <c r="A142" s="26" t="s">
        <v>75</v>
      </c>
      <c r="B142" s="27" t="s">
        <v>76</v>
      </c>
      <c r="C142" s="26" t="s">
        <v>78</v>
      </c>
      <c r="D142" s="27" t="s">
        <v>79</v>
      </c>
      <c r="E142" s="27" t="s">
        <v>80</v>
      </c>
      <c r="F142" s="27" t="s">
        <v>81</v>
      </c>
      <c r="G142" s="31" t="s">
        <v>83</v>
      </c>
      <c r="H142" s="31" t="s">
        <v>84</v>
      </c>
      <c r="I142" s="31" t="s">
        <v>85</v>
      </c>
      <c r="J142" s="31" t="s">
        <v>86</v>
      </c>
      <c r="K142" s="31" t="s">
        <v>91</v>
      </c>
    </row>
    <row r="143" spans="1:11" ht="15" thickBot="1" x14ac:dyDescent="0.35">
      <c r="A143" s="28" t="s">
        <v>5</v>
      </c>
      <c r="B143" s="29" t="s">
        <v>8</v>
      </c>
      <c r="C143" s="34">
        <v>2.0428870633943874</v>
      </c>
      <c r="D143" s="32">
        <v>2.0200715706918619</v>
      </c>
      <c r="E143" s="35">
        <v>1.0155227417600328</v>
      </c>
      <c r="F143" s="35">
        <v>1.0110818610372949</v>
      </c>
      <c r="G143" s="33">
        <f>ABS(C143-D143)</f>
        <v>2.2815492702525475E-2</v>
      </c>
      <c r="H143" s="33">
        <f>ABS(E143-F143)</f>
        <v>4.44088072273785E-3</v>
      </c>
      <c r="I143">
        <v>8</v>
      </c>
      <c r="J143">
        <v>9</v>
      </c>
      <c r="K143" s="41">
        <f>I143-J143</f>
        <v>-1</v>
      </c>
    </row>
    <row r="144" spans="1:11" ht="15" thickBot="1" x14ac:dyDescent="0.35">
      <c r="A144" s="28" t="s">
        <v>5</v>
      </c>
      <c r="B144" s="29" t="s">
        <v>9</v>
      </c>
      <c r="C144" s="32">
        <v>1.3696171062201117</v>
      </c>
      <c r="D144" s="32">
        <v>1.2284880154419107</v>
      </c>
      <c r="E144" s="35">
        <v>1.8308613058693657</v>
      </c>
      <c r="F144" s="35">
        <v>1.8382950958757722</v>
      </c>
      <c r="G144" s="33">
        <f t="shared" ref="G144:G178" si="50">ABS(C144-D144)</f>
        <v>0.14112909077820102</v>
      </c>
      <c r="H144" s="33">
        <f t="shared" ref="H144:H178" si="51">ABS(E144-F144)</f>
        <v>7.4337900064065376E-3</v>
      </c>
      <c r="I144">
        <v>23</v>
      </c>
      <c r="J144">
        <v>15</v>
      </c>
      <c r="K144">
        <f t="shared" ref="K144:K178" si="52">I144-J144</f>
        <v>8</v>
      </c>
    </row>
    <row r="145" spans="1:11" ht="15" thickBot="1" x14ac:dyDescent="0.35">
      <c r="A145" s="28" t="s">
        <v>5</v>
      </c>
      <c r="B145" s="29" t="s">
        <v>14</v>
      </c>
      <c r="C145" s="34">
        <v>-0.13661158685577257</v>
      </c>
      <c r="D145" s="35">
        <v>-0.9001239487482976</v>
      </c>
      <c r="E145" s="35">
        <v>-0.96265324536656094</v>
      </c>
      <c r="F145" s="35">
        <v>-1.0808799705090442</v>
      </c>
      <c r="G145" s="33">
        <f t="shared" si="50"/>
        <v>0.76351236189252503</v>
      </c>
      <c r="H145" s="33">
        <f t="shared" si="51"/>
        <v>0.11822672514248322</v>
      </c>
      <c r="I145">
        <v>34</v>
      </c>
      <c r="J145">
        <v>35</v>
      </c>
      <c r="K145" s="41">
        <f t="shared" si="52"/>
        <v>-1</v>
      </c>
    </row>
    <row r="146" spans="1:11" ht="15" thickBot="1" x14ac:dyDescent="0.35">
      <c r="A146" s="28" t="s">
        <v>5</v>
      </c>
      <c r="B146" s="29" t="s">
        <v>16</v>
      </c>
      <c r="C146" s="34">
        <v>1.5602076141132624</v>
      </c>
      <c r="D146" s="35">
        <v>1.5462420949658997</v>
      </c>
      <c r="E146" s="35">
        <v>0.49503133810304017</v>
      </c>
      <c r="F146" s="35">
        <v>0.47616508316625344</v>
      </c>
      <c r="G146" s="33">
        <f t="shared" si="50"/>
        <v>1.3965519147362659E-2</v>
      </c>
      <c r="H146" s="33">
        <f t="shared" si="51"/>
        <v>1.886625493678673E-2</v>
      </c>
      <c r="I146">
        <v>7</v>
      </c>
      <c r="J146">
        <v>24</v>
      </c>
      <c r="K146">
        <f t="shared" si="52"/>
        <v>-17</v>
      </c>
    </row>
    <row r="147" spans="1:11" ht="15" thickBot="1" x14ac:dyDescent="0.35">
      <c r="A147" s="28" t="s">
        <v>5</v>
      </c>
      <c r="B147" s="29" t="s">
        <v>17</v>
      </c>
      <c r="C147" s="35">
        <v>-3.3567502182666256</v>
      </c>
      <c r="D147" s="35">
        <v>-2.8801046424523529</v>
      </c>
      <c r="E147" s="35">
        <v>-1.4227064706673767</v>
      </c>
      <c r="F147" s="35">
        <v>-1.3397979622612819</v>
      </c>
      <c r="G147" s="33">
        <f t="shared" si="50"/>
        <v>0.47664557581427269</v>
      </c>
      <c r="H147" s="33">
        <f t="shared" si="51"/>
        <v>8.2908508406094761E-2</v>
      </c>
      <c r="I147">
        <v>33</v>
      </c>
      <c r="J147">
        <v>33</v>
      </c>
      <c r="K147" s="6">
        <f t="shared" si="52"/>
        <v>0</v>
      </c>
    </row>
    <row r="148" spans="1:11" ht="15" thickBot="1" x14ac:dyDescent="0.35">
      <c r="A148" s="28" t="s">
        <v>6</v>
      </c>
      <c r="B148" s="29" t="s">
        <v>9</v>
      </c>
      <c r="C148" s="35">
        <v>-1.3194717882238318</v>
      </c>
      <c r="D148" s="35">
        <v>-1.3157749871360731</v>
      </c>
      <c r="E148" s="35">
        <v>-1.1014484344292923</v>
      </c>
      <c r="F148" s="35">
        <v>-1.1066794113914105</v>
      </c>
      <c r="G148" s="33">
        <f t="shared" si="50"/>
        <v>3.6968010877587165E-3</v>
      </c>
      <c r="H148" s="33">
        <f t="shared" si="51"/>
        <v>5.2309769621181612E-3</v>
      </c>
      <c r="I148">
        <v>2</v>
      </c>
      <c r="J148">
        <v>11</v>
      </c>
      <c r="K148">
        <f t="shared" si="52"/>
        <v>-9</v>
      </c>
    </row>
    <row r="149" spans="1:11" ht="15" thickBot="1" x14ac:dyDescent="0.35">
      <c r="A149" s="28" t="s">
        <v>9</v>
      </c>
      <c r="B149" s="29" t="s">
        <v>18</v>
      </c>
      <c r="C149" s="35">
        <v>-2.6695943810126632</v>
      </c>
      <c r="D149" s="35">
        <v>-2.8234094284759146</v>
      </c>
      <c r="E149" s="35">
        <v>-1.7920095060361172</v>
      </c>
      <c r="F149" s="35">
        <v>-1.7917214361240454</v>
      </c>
      <c r="G149" s="33">
        <f t="shared" si="50"/>
        <v>0.15381504746325136</v>
      </c>
      <c r="H149" s="33">
        <f t="shared" si="51"/>
        <v>2.8806991207175336E-4</v>
      </c>
      <c r="I149">
        <v>25</v>
      </c>
      <c r="J149">
        <v>2</v>
      </c>
      <c r="K149">
        <f t="shared" si="52"/>
        <v>23</v>
      </c>
    </row>
    <row r="150" spans="1:11" ht="15" thickBot="1" x14ac:dyDescent="0.35">
      <c r="A150" s="28" t="s">
        <v>10</v>
      </c>
      <c r="B150" s="29" t="s">
        <v>8</v>
      </c>
      <c r="C150" s="35">
        <v>-0.13689520766634361</v>
      </c>
      <c r="D150" s="35">
        <v>-0.14099358814920837</v>
      </c>
      <c r="E150" s="35">
        <v>-0.141291890301355</v>
      </c>
      <c r="F150" s="35">
        <v>-0.1483671541055647</v>
      </c>
      <c r="G150" s="33">
        <f t="shared" si="50"/>
        <v>4.0983804828647608E-3</v>
      </c>
      <c r="H150" s="33">
        <f t="shared" si="51"/>
        <v>7.0752638042096971E-3</v>
      </c>
      <c r="I150">
        <v>4</v>
      </c>
      <c r="J150">
        <v>13</v>
      </c>
      <c r="K150">
        <f t="shared" si="52"/>
        <v>-9</v>
      </c>
    </row>
    <row r="151" spans="1:11" ht="15" thickBot="1" x14ac:dyDescent="0.35">
      <c r="A151" s="28" t="s">
        <v>10</v>
      </c>
      <c r="B151" s="29" t="s">
        <v>13</v>
      </c>
      <c r="C151" s="35">
        <v>0.21623306960248304</v>
      </c>
      <c r="D151" s="35">
        <v>0.21224270322142563</v>
      </c>
      <c r="E151" s="35">
        <v>0.19843392405620749</v>
      </c>
      <c r="F151" s="35">
        <v>0.20065772174105603</v>
      </c>
      <c r="G151" s="33">
        <f t="shared" si="50"/>
        <v>3.990366381057403E-3</v>
      </c>
      <c r="H151" s="33">
        <f t="shared" si="51"/>
        <v>2.2237976848485386E-3</v>
      </c>
      <c r="I151">
        <v>3</v>
      </c>
      <c r="J151">
        <v>6</v>
      </c>
      <c r="K151" s="41">
        <f t="shared" si="52"/>
        <v>-3</v>
      </c>
    </row>
    <row r="152" spans="1:11" ht="15" thickBot="1" x14ac:dyDescent="0.35">
      <c r="A152" s="28" t="s">
        <v>10</v>
      </c>
      <c r="B152" s="29" t="s">
        <v>16</v>
      </c>
      <c r="C152" s="35">
        <v>1.253822945961814E-2</v>
      </c>
      <c r="D152" s="35">
        <v>3.4791376639533387E-3</v>
      </c>
      <c r="E152" s="35">
        <v>-2.4751957220838106E-2</v>
      </c>
      <c r="F152" s="35">
        <v>-3.7503238169858892E-2</v>
      </c>
      <c r="G152" s="33">
        <f t="shared" si="50"/>
        <v>9.0590917956648014E-3</v>
      </c>
      <c r="H152" s="33">
        <f t="shared" si="51"/>
        <v>1.2751280949020786E-2</v>
      </c>
      <c r="I152">
        <v>6</v>
      </c>
      <c r="J152">
        <v>22</v>
      </c>
      <c r="K152">
        <f t="shared" si="52"/>
        <v>-16</v>
      </c>
    </row>
    <row r="153" spans="1:11" ht="15" thickBot="1" x14ac:dyDescent="0.35">
      <c r="A153" s="28" t="s">
        <v>10</v>
      </c>
      <c r="B153" s="29" t="s">
        <v>18</v>
      </c>
      <c r="C153" s="35">
        <v>0.35605317951197452</v>
      </c>
      <c r="D153" s="35">
        <v>0.40039476132408958</v>
      </c>
      <c r="E153" s="35">
        <v>0.16557924517789732</v>
      </c>
      <c r="F153" s="35">
        <v>0.16734392142138321</v>
      </c>
      <c r="G153" s="33">
        <f t="shared" si="50"/>
        <v>4.4341581812115061E-2</v>
      </c>
      <c r="H153" s="33">
        <f t="shared" si="51"/>
        <v>1.7646762434858909E-3</v>
      </c>
      <c r="I153">
        <v>13</v>
      </c>
      <c r="J153">
        <v>5</v>
      </c>
      <c r="K153">
        <f t="shared" si="52"/>
        <v>8</v>
      </c>
    </row>
    <row r="154" spans="1:11" ht="15" thickBot="1" x14ac:dyDescent="0.35">
      <c r="A154" s="28" t="s">
        <v>11</v>
      </c>
      <c r="B154" s="29" t="s">
        <v>12</v>
      </c>
      <c r="C154" s="35">
        <v>0.43842925814591416</v>
      </c>
      <c r="D154" s="35">
        <v>0.39465841365964494</v>
      </c>
      <c r="E154" s="35">
        <v>-0.57997553780869304</v>
      </c>
      <c r="F154" s="35">
        <v>-0.58619128770141082</v>
      </c>
      <c r="G154" s="33">
        <f t="shared" si="50"/>
        <v>4.3770844486269223E-2</v>
      </c>
      <c r="H154" s="33">
        <f t="shared" si="51"/>
        <v>6.2157498927177812E-3</v>
      </c>
      <c r="I154">
        <v>12</v>
      </c>
      <c r="J154">
        <v>12</v>
      </c>
      <c r="K154" s="6">
        <f t="shared" si="52"/>
        <v>0</v>
      </c>
    </row>
    <row r="155" spans="1:11" ht="15" thickBot="1" x14ac:dyDescent="0.35">
      <c r="A155" s="28" t="s">
        <v>12</v>
      </c>
      <c r="B155" s="29" t="s">
        <v>11</v>
      </c>
      <c r="C155" s="35">
        <v>0.78779163867602919</v>
      </c>
      <c r="D155" s="35">
        <v>0.78183054500260996</v>
      </c>
      <c r="E155" s="35">
        <v>0.91072425786687916</v>
      </c>
      <c r="F155" s="35">
        <v>0.90988324029309386</v>
      </c>
      <c r="G155" s="33">
        <f t="shared" si="50"/>
        <v>5.9610936734192377E-3</v>
      </c>
      <c r="H155" s="33">
        <f t="shared" si="51"/>
        <v>8.4101757378529651E-4</v>
      </c>
      <c r="I155">
        <v>5</v>
      </c>
      <c r="J155">
        <v>3</v>
      </c>
      <c r="K155" s="41">
        <f t="shared" si="52"/>
        <v>2</v>
      </c>
    </row>
    <row r="156" spans="1:11" ht="15" thickBot="1" x14ac:dyDescent="0.35">
      <c r="A156" s="28" t="s">
        <v>13</v>
      </c>
      <c r="B156" s="29" t="s">
        <v>11</v>
      </c>
      <c r="C156" s="35">
        <v>0.33056999423544609</v>
      </c>
      <c r="D156" s="35">
        <v>0.30496366217554438</v>
      </c>
      <c r="E156" s="35">
        <v>0.17463049334870004</v>
      </c>
      <c r="F156" s="35">
        <v>0.16215910819708754</v>
      </c>
      <c r="G156" s="33">
        <f t="shared" si="50"/>
        <v>2.5606332059901704E-2</v>
      </c>
      <c r="H156" s="33">
        <f t="shared" si="51"/>
        <v>1.2471385151612502E-2</v>
      </c>
      <c r="I156">
        <v>9</v>
      </c>
      <c r="J156">
        <v>21</v>
      </c>
      <c r="K156">
        <f t="shared" si="52"/>
        <v>-12</v>
      </c>
    </row>
    <row r="157" spans="1:11" ht="15" thickBot="1" x14ac:dyDescent="0.35">
      <c r="A157" s="28" t="s">
        <v>14</v>
      </c>
      <c r="B157" s="29" t="s">
        <v>8</v>
      </c>
      <c r="C157" s="35">
        <v>3.1887082404665666E-2</v>
      </c>
      <c r="D157" s="35">
        <v>7.9349428392256949E-2</v>
      </c>
      <c r="E157" s="35">
        <v>0.10587428369070399</v>
      </c>
      <c r="F157" s="35">
        <v>0.10121491598611349</v>
      </c>
      <c r="G157" s="33">
        <f t="shared" si="50"/>
        <v>4.7462345987591283E-2</v>
      </c>
      <c r="H157" s="33">
        <f t="shared" si="51"/>
        <v>4.6593677045905085E-3</v>
      </c>
      <c r="I157">
        <v>15</v>
      </c>
      <c r="J157">
        <v>10</v>
      </c>
      <c r="K157">
        <f t="shared" si="52"/>
        <v>5</v>
      </c>
    </row>
    <row r="158" spans="1:11" ht="15" thickBot="1" x14ac:dyDescent="0.35">
      <c r="A158" s="28" t="s">
        <v>14</v>
      </c>
      <c r="B158" s="29" t="s">
        <v>10</v>
      </c>
      <c r="C158" s="35">
        <v>3.1483727272631032E-2</v>
      </c>
      <c r="D158" s="35">
        <v>-9.174691420589634E-2</v>
      </c>
      <c r="E158" s="35">
        <v>0.70665129028242346</v>
      </c>
      <c r="F158" s="35">
        <v>0.74251034168581709</v>
      </c>
      <c r="G158" s="33">
        <f t="shared" si="50"/>
        <v>0.12323064147852737</v>
      </c>
      <c r="H158" s="33">
        <f t="shared" si="51"/>
        <v>3.5859051403393627E-2</v>
      </c>
      <c r="I158">
        <v>21</v>
      </c>
      <c r="J158">
        <v>30</v>
      </c>
      <c r="K158">
        <f t="shared" si="52"/>
        <v>-9</v>
      </c>
    </row>
    <row r="159" spans="1:11" ht="15" thickBot="1" x14ac:dyDescent="0.35">
      <c r="A159" s="28" t="s">
        <v>14</v>
      </c>
      <c r="B159" s="29" t="s">
        <v>11</v>
      </c>
      <c r="C159" s="35">
        <v>-8.246290137511228E-3</v>
      </c>
      <c r="D159" s="35">
        <v>-9.8709125994899203E-3</v>
      </c>
      <c r="E159" s="35">
        <v>-0.11919183260290515</v>
      </c>
      <c r="F159" s="35">
        <v>-0.1192679175364839</v>
      </c>
      <c r="G159" s="33">
        <f t="shared" si="50"/>
        <v>1.6246224619786923E-3</v>
      </c>
      <c r="H159" s="33">
        <f t="shared" si="51"/>
        <v>7.6084933578746128E-5</v>
      </c>
      <c r="I159">
        <v>1</v>
      </c>
      <c r="J159">
        <v>1</v>
      </c>
      <c r="K159" s="6">
        <f t="shared" si="52"/>
        <v>0</v>
      </c>
    </row>
    <row r="160" spans="1:11" ht="15" thickBot="1" x14ac:dyDescent="0.35">
      <c r="A160" s="28" t="s">
        <v>14</v>
      </c>
      <c r="B160" s="29" t="s">
        <v>13</v>
      </c>
      <c r="C160" s="35">
        <v>0.90901451378685549</v>
      </c>
      <c r="D160" s="35">
        <v>0.75809953016174658</v>
      </c>
      <c r="E160" s="35">
        <v>-0.37799321247120343</v>
      </c>
      <c r="F160" s="35">
        <v>-0.40470498028532353</v>
      </c>
      <c r="G160" s="33">
        <f t="shared" si="50"/>
        <v>0.15091498362510891</v>
      </c>
      <c r="H160" s="33">
        <f t="shared" si="51"/>
        <v>2.6711767814120102E-2</v>
      </c>
      <c r="I160">
        <v>24</v>
      </c>
      <c r="J160">
        <v>29</v>
      </c>
      <c r="K160">
        <f t="shared" si="52"/>
        <v>-5</v>
      </c>
    </row>
    <row r="161" spans="1:11" ht="15" thickBot="1" x14ac:dyDescent="0.35">
      <c r="A161" s="28" t="s">
        <v>14</v>
      </c>
      <c r="B161" s="29" t="s">
        <v>14</v>
      </c>
      <c r="C161" s="35">
        <v>0.61754519268216146</v>
      </c>
      <c r="D161" s="35">
        <v>0.45623565633524454</v>
      </c>
      <c r="E161" s="35">
        <v>0.60575744802937159</v>
      </c>
      <c r="F161" s="35">
        <v>0.60947297367100128</v>
      </c>
      <c r="G161" s="33">
        <f t="shared" si="50"/>
        <v>0.16130953634691692</v>
      </c>
      <c r="H161" s="33">
        <f t="shared" si="51"/>
        <v>3.7155256416296911E-3</v>
      </c>
      <c r="I161">
        <v>27</v>
      </c>
      <c r="J161">
        <v>8</v>
      </c>
      <c r="K161">
        <f t="shared" si="52"/>
        <v>19</v>
      </c>
    </row>
    <row r="162" spans="1:11" ht="15" thickBot="1" x14ac:dyDescent="0.35">
      <c r="A162" s="28" t="s">
        <v>14</v>
      </c>
      <c r="B162" s="29" t="s">
        <v>15</v>
      </c>
      <c r="C162" s="35">
        <v>0.50900801560755848</v>
      </c>
      <c r="D162" s="35">
        <v>0.27748817298419048</v>
      </c>
      <c r="E162" s="35">
        <v>2.0257941214712822</v>
      </c>
      <c r="F162" s="35">
        <v>2.1227215970535793</v>
      </c>
      <c r="G162" s="33">
        <f t="shared" si="50"/>
        <v>0.231519842623368</v>
      </c>
      <c r="H162" s="33">
        <f t="shared" si="51"/>
        <v>9.6927475582297085E-2</v>
      </c>
      <c r="I162">
        <v>31</v>
      </c>
      <c r="J162">
        <v>34</v>
      </c>
      <c r="K162" s="41">
        <f t="shared" si="52"/>
        <v>-3</v>
      </c>
    </row>
    <row r="163" spans="1:11" ht="15" thickBot="1" x14ac:dyDescent="0.35">
      <c r="A163" s="28" t="s">
        <v>14</v>
      </c>
      <c r="B163" s="29" t="s">
        <v>19</v>
      </c>
      <c r="C163" s="35">
        <v>0.23492513665264544</v>
      </c>
      <c r="D163" s="35">
        <v>0.28082130212090012</v>
      </c>
      <c r="E163" s="35">
        <v>0.62030828193064935</v>
      </c>
      <c r="F163" s="35">
        <v>0.63898879144949206</v>
      </c>
      <c r="G163" s="33">
        <f t="shared" si="50"/>
        <v>4.5896165468254674E-2</v>
      </c>
      <c r="H163" s="33">
        <f t="shared" si="51"/>
        <v>1.8680509518842703E-2</v>
      </c>
      <c r="I163">
        <v>14</v>
      </c>
      <c r="J163">
        <v>23</v>
      </c>
      <c r="K163">
        <f t="shared" si="52"/>
        <v>-9</v>
      </c>
    </row>
    <row r="164" spans="1:11" ht="15" thickBot="1" x14ac:dyDescent="0.35">
      <c r="A164" s="28" t="s">
        <v>15</v>
      </c>
      <c r="B164" s="29" t="s">
        <v>7</v>
      </c>
      <c r="C164" s="35">
        <v>5.9430089196082232</v>
      </c>
      <c r="D164" s="35">
        <v>2.8902215235508077E-2</v>
      </c>
      <c r="E164" s="35">
        <v>1.2485701249758925</v>
      </c>
      <c r="F164" s="35">
        <v>1.2363823731325165</v>
      </c>
      <c r="G164" s="33">
        <f t="shared" si="50"/>
        <v>5.9141067043727151</v>
      </c>
      <c r="H164" s="33">
        <f t="shared" si="51"/>
        <v>1.2187751843375949E-2</v>
      </c>
      <c r="I164">
        <v>36</v>
      </c>
      <c r="J164">
        <v>19</v>
      </c>
      <c r="K164">
        <f t="shared" si="52"/>
        <v>17</v>
      </c>
    </row>
    <row r="165" spans="1:11" ht="15" thickBot="1" x14ac:dyDescent="0.35">
      <c r="A165" s="28" t="s">
        <v>15</v>
      </c>
      <c r="B165" s="29" t="s">
        <v>8</v>
      </c>
      <c r="C165" s="35">
        <v>0.26854499664104203</v>
      </c>
      <c r="D165" s="35">
        <v>0.13319455305803404</v>
      </c>
      <c r="E165" s="35">
        <v>-6.6258895902723061E-2</v>
      </c>
      <c r="F165" s="35">
        <v>-5.8386772287794174E-2</v>
      </c>
      <c r="G165" s="33">
        <f t="shared" si="50"/>
        <v>0.13535044358300799</v>
      </c>
      <c r="H165" s="33">
        <f t="shared" si="51"/>
        <v>7.8721236149288873E-3</v>
      </c>
      <c r="I165">
        <v>22</v>
      </c>
      <c r="J165">
        <v>16</v>
      </c>
      <c r="K165">
        <f t="shared" si="52"/>
        <v>6</v>
      </c>
    </row>
    <row r="166" spans="1:11" ht="15" thickBot="1" x14ac:dyDescent="0.35">
      <c r="A166" s="28" t="s">
        <v>15</v>
      </c>
      <c r="B166" s="29" t="s">
        <v>9</v>
      </c>
      <c r="C166" s="35">
        <v>-0.77000785686427353</v>
      </c>
      <c r="D166" s="35">
        <v>-0.98403804703201214</v>
      </c>
      <c r="E166" s="35">
        <v>-0.88738057686427074</v>
      </c>
      <c r="F166" s="35">
        <v>-0.87750753105833612</v>
      </c>
      <c r="G166" s="33">
        <f t="shared" si="50"/>
        <v>0.21403019016773861</v>
      </c>
      <c r="H166" s="33">
        <f t="shared" si="51"/>
        <v>9.8730458059346216E-3</v>
      </c>
      <c r="I166">
        <v>29</v>
      </c>
      <c r="J166">
        <v>17</v>
      </c>
      <c r="K166">
        <f t="shared" si="52"/>
        <v>12</v>
      </c>
    </row>
    <row r="167" spans="1:11" ht="15" thickBot="1" x14ac:dyDescent="0.35">
      <c r="A167" s="28" t="s">
        <v>15</v>
      </c>
      <c r="B167" s="29" t="s">
        <v>10</v>
      </c>
      <c r="C167" s="35">
        <v>1.2313784306335664</v>
      </c>
      <c r="D167" s="35">
        <v>2.0648822628010128</v>
      </c>
      <c r="E167" s="35">
        <v>-0.85020401238782328</v>
      </c>
      <c r="F167" s="35">
        <v>-1.1019878031608537</v>
      </c>
      <c r="G167" s="33">
        <f t="shared" si="50"/>
        <v>0.83350383216744639</v>
      </c>
      <c r="H167" s="33">
        <f t="shared" si="51"/>
        <v>0.25178379077303037</v>
      </c>
      <c r="I167">
        <v>35</v>
      </c>
      <c r="J167">
        <v>36</v>
      </c>
      <c r="K167" s="41">
        <f t="shared" si="52"/>
        <v>-1</v>
      </c>
    </row>
    <row r="168" spans="1:11" ht="15" thickBot="1" x14ac:dyDescent="0.35">
      <c r="A168" s="28" t="s">
        <v>15</v>
      </c>
      <c r="B168" s="29" t="s">
        <v>13</v>
      </c>
      <c r="C168" s="35">
        <v>-3.1645428707785275</v>
      </c>
      <c r="D168" s="35">
        <v>-3.3929609397907421</v>
      </c>
      <c r="E168" s="35">
        <v>0.82264122984674359</v>
      </c>
      <c r="F168" s="35">
        <v>0.90016551355199326</v>
      </c>
      <c r="G168" s="33">
        <f t="shared" si="50"/>
        <v>0.22841806901221462</v>
      </c>
      <c r="H168" s="33">
        <f t="shared" si="51"/>
        <v>7.7524283705249664E-2</v>
      </c>
      <c r="I168">
        <v>30</v>
      </c>
      <c r="J168">
        <v>32</v>
      </c>
      <c r="K168" s="41">
        <f t="shared" si="52"/>
        <v>-2</v>
      </c>
    </row>
    <row r="169" spans="1:11" ht="15" thickBot="1" x14ac:dyDescent="0.35">
      <c r="A169" s="28" t="s">
        <v>15</v>
      </c>
      <c r="B169" s="29" t="s">
        <v>16</v>
      </c>
      <c r="C169" s="35">
        <v>0.43631005972961051</v>
      </c>
      <c r="D169" s="35">
        <v>0.52124141527266721</v>
      </c>
      <c r="E169" s="35">
        <v>0.55778104994572431</v>
      </c>
      <c r="F169" s="35">
        <v>0.57746620411109362</v>
      </c>
      <c r="G169" s="33">
        <f t="shared" si="50"/>
        <v>8.4931355543056697E-2</v>
      </c>
      <c r="H169" s="33">
        <f t="shared" si="51"/>
        <v>1.9685154165369312E-2</v>
      </c>
      <c r="I169">
        <v>18</v>
      </c>
      <c r="J169">
        <v>25</v>
      </c>
      <c r="K169">
        <f t="shared" si="52"/>
        <v>-7</v>
      </c>
    </row>
    <row r="170" spans="1:11" ht="15" thickBot="1" x14ac:dyDescent="0.35">
      <c r="A170" s="28" t="s">
        <v>15</v>
      </c>
      <c r="B170" s="29" t="s">
        <v>17</v>
      </c>
      <c r="C170" s="35">
        <v>-0.96505654458376378</v>
      </c>
      <c r="D170" s="35">
        <v>-0.9118449402247395</v>
      </c>
      <c r="E170" s="35">
        <v>-0.61480356480679121</v>
      </c>
      <c r="F170" s="35">
        <v>-0.61652318997296207</v>
      </c>
      <c r="G170" s="33">
        <f t="shared" si="50"/>
        <v>5.3211604359024278E-2</v>
      </c>
      <c r="H170" s="33">
        <f t="shared" si="51"/>
        <v>1.7196251661708573E-3</v>
      </c>
      <c r="I170">
        <v>16</v>
      </c>
      <c r="J170">
        <v>4</v>
      </c>
      <c r="K170">
        <f t="shared" si="52"/>
        <v>12</v>
      </c>
    </row>
    <row r="171" spans="1:11" ht="15" thickBot="1" x14ac:dyDescent="0.35">
      <c r="A171" s="28" t="s">
        <v>15</v>
      </c>
      <c r="B171" s="29" t="s">
        <v>18</v>
      </c>
      <c r="C171" s="35">
        <v>0.58580487009550486</v>
      </c>
      <c r="D171" s="35">
        <v>0.82784822185505447</v>
      </c>
      <c r="E171" s="35">
        <v>3.143285893579794E-2</v>
      </c>
      <c r="F171" s="35">
        <v>3.8526949886206724E-2</v>
      </c>
      <c r="G171" s="33">
        <f t="shared" si="50"/>
        <v>0.24204335175954961</v>
      </c>
      <c r="H171" s="33">
        <f t="shared" si="51"/>
        <v>7.0940909504087837E-3</v>
      </c>
      <c r="I171">
        <v>32</v>
      </c>
      <c r="J171">
        <v>14</v>
      </c>
      <c r="K171">
        <f t="shared" si="52"/>
        <v>18</v>
      </c>
    </row>
    <row r="172" spans="1:11" ht="15" thickBot="1" x14ac:dyDescent="0.35">
      <c r="A172" s="28" t="s">
        <v>15</v>
      </c>
      <c r="B172" s="29" t="s">
        <v>19</v>
      </c>
      <c r="C172" s="35">
        <v>0.33866776962917472</v>
      </c>
      <c r="D172" s="35">
        <v>0.16790715346952392</v>
      </c>
      <c r="E172" s="35">
        <v>-0.91636095549454599</v>
      </c>
      <c r="F172" s="35">
        <v>-0.99218764628495937</v>
      </c>
      <c r="G172" s="33">
        <f t="shared" si="50"/>
        <v>0.1707606161596508</v>
      </c>
      <c r="H172" s="33">
        <f t="shared" si="51"/>
        <v>7.5826690790413376E-2</v>
      </c>
      <c r="I172">
        <v>28</v>
      </c>
      <c r="J172">
        <v>31</v>
      </c>
      <c r="K172" s="41">
        <f t="shared" si="52"/>
        <v>-3</v>
      </c>
    </row>
    <row r="173" spans="1:11" ht="15" thickBot="1" x14ac:dyDescent="0.35">
      <c r="A173" s="28" t="s">
        <v>17</v>
      </c>
      <c r="B173" s="29" t="s">
        <v>13</v>
      </c>
      <c r="C173" s="35">
        <v>-2.5492927877980578</v>
      </c>
      <c r="D173" s="35">
        <v>-2.4934482612160838</v>
      </c>
      <c r="E173" s="35">
        <v>-2.1832577877100787</v>
      </c>
      <c r="F173" s="35">
        <v>-2.1956123065833024</v>
      </c>
      <c r="G173" s="33">
        <f t="shared" si="50"/>
        <v>5.584452658197403E-2</v>
      </c>
      <c r="H173" s="33">
        <f t="shared" si="51"/>
        <v>1.2354518873223697E-2</v>
      </c>
      <c r="I173">
        <v>17</v>
      </c>
      <c r="J173">
        <v>20</v>
      </c>
      <c r="K173" s="41">
        <f t="shared" si="52"/>
        <v>-3</v>
      </c>
    </row>
    <row r="174" spans="1:11" ht="15" thickBot="1" x14ac:dyDescent="0.35">
      <c r="A174" s="28" t="s">
        <v>17</v>
      </c>
      <c r="B174" s="29" t="s">
        <v>18</v>
      </c>
      <c r="C174" s="35">
        <v>1.2589404734374217</v>
      </c>
      <c r="D174" s="35">
        <v>1.0993183192541258</v>
      </c>
      <c r="E174" s="35">
        <v>0.27974137306424468</v>
      </c>
      <c r="F174" s="35">
        <v>0.26985420094482737</v>
      </c>
      <c r="G174" s="33">
        <f t="shared" si="50"/>
        <v>0.15962215418329584</v>
      </c>
      <c r="H174" s="33">
        <f t="shared" si="51"/>
        <v>9.887172119417309E-3</v>
      </c>
      <c r="I174">
        <v>26</v>
      </c>
      <c r="J174">
        <v>18</v>
      </c>
      <c r="K174">
        <f t="shared" si="52"/>
        <v>8</v>
      </c>
    </row>
    <row r="175" spans="1:11" ht="15" thickBot="1" x14ac:dyDescent="0.35">
      <c r="A175" s="28" t="s">
        <v>17</v>
      </c>
      <c r="B175" s="29" t="s">
        <v>19</v>
      </c>
      <c r="C175" s="35">
        <v>1.4842009319232545</v>
      </c>
      <c r="D175" s="35">
        <v>1.5936610631477102</v>
      </c>
      <c r="E175" s="35">
        <v>0.66172433206387171</v>
      </c>
      <c r="F175" s="35">
        <v>0.68519460620078554</v>
      </c>
      <c r="G175" s="33">
        <f t="shared" si="50"/>
        <v>0.10946013122445564</v>
      </c>
      <c r="H175" s="33">
        <f t="shared" si="51"/>
        <v>2.3470274136913827E-2</v>
      </c>
      <c r="I175">
        <v>20</v>
      </c>
      <c r="J175">
        <v>27</v>
      </c>
      <c r="K175">
        <f t="shared" si="52"/>
        <v>-7</v>
      </c>
    </row>
    <row r="176" spans="1:11" ht="15" thickBot="1" x14ac:dyDescent="0.35">
      <c r="A176" s="28" t="s">
        <v>18</v>
      </c>
      <c r="B176" s="29" t="s">
        <v>8</v>
      </c>
      <c r="C176" s="35">
        <v>-0.27001291835034336</v>
      </c>
      <c r="D176" s="35">
        <v>-0.23268515382085403</v>
      </c>
      <c r="E176" s="35">
        <v>-0.42138906570367662</v>
      </c>
      <c r="F176" s="35">
        <v>-0.3959265957574129</v>
      </c>
      <c r="G176" s="33">
        <f t="shared" si="50"/>
        <v>3.7327764529489327E-2</v>
      </c>
      <c r="H176" s="33">
        <f t="shared" si="51"/>
        <v>2.5462469946263722E-2</v>
      </c>
      <c r="I176">
        <v>11</v>
      </c>
      <c r="J176">
        <v>28</v>
      </c>
      <c r="K176">
        <f t="shared" si="52"/>
        <v>-17</v>
      </c>
    </row>
    <row r="177" spans="1:11" ht="15" thickBot="1" x14ac:dyDescent="0.35">
      <c r="A177" s="28" t="s">
        <v>18</v>
      </c>
      <c r="B177" s="29" t="s">
        <v>12</v>
      </c>
      <c r="C177" s="35">
        <v>1.2820371747804391</v>
      </c>
      <c r="D177" s="35">
        <v>1.2515081041636213</v>
      </c>
      <c r="E177" s="35">
        <v>0.78585362779994405</v>
      </c>
      <c r="F177" s="35">
        <v>0.78355479438562037</v>
      </c>
      <c r="G177" s="33">
        <f t="shared" si="50"/>
        <v>3.0529070616817755E-2</v>
      </c>
      <c r="H177" s="33">
        <f t="shared" si="51"/>
        <v>2.2988334143236866E-3</v>
      </c>
      <c r="I177">
        <v>10</v>
      </c>
      <c r="J177">
        <v>7</v>
      </c>
      <c r="K177" s="41">
        <f t="shared" si="52"/>
        <v>3</v>
      </c>
    </row>
    <row r="178" spans="1:11" x14ac:dyDescent="0.3">
      <c r="A178" s="30" t="s">
        <v>20</v>
      </c>
      <c r="B178" s="31" t="s">
        <v>6</v>
      </c>
      <c r="C178" s="35">
        <v>1.2253125500026241</v>
      </c>
      <c r="D178" s="35">
        <v>1.3199740696025577</v>
      </c>
      <c r="E178" s="35">
        <v>0.93492094827977268</v>
      </c>
      <c r="F178" s="35">
        <v>0.91423484445494574</v>
      </c>
      <c r="G178" s="33">
        <f t="shared" si="50"/>
        <v>9.466151959993363E-2</v>
      </c>
      <c r="H178" s="33">
        <f t="shared" si="51"/>
        <v>2.068610382482694E-2</v>
      </c>
      <c r="I178">
        <v>19</v>
      </c>
      <c r="J178">
        <v>26</v>
      </c>
      <c r="K178">
        <f t="shared" si="52"/>
        <v>-7</v>
      </c>
    </row>
    <row r="179" spans="1:11" x14ac:dyDescent="0.3">
      <c r="A179" s="36"/>
      <c r="B179" s="36"/>
      <c r="C179" s="35"/>
      <c r="D179" s="35"/>
      <c r="E179" s="35"/>
      <c r="F179" s="35" t="s">
        <v>87</v>
      </c>
      <c r="G179">
        <f>AVERAGE(G143:G178)</f>
        <v>0.30106019587303634</v>
      </c>
      <c r="H179">
        <f>AVERAGE(H143:H178)</f>
        <v>2.8474835808796745E-2</v>
      </c>
    </row>
    <row r="180" spans="1:11" x14ac:dyDescent="0.3">
      <c r="A180" s="36"/>
      <c r="B180" s="36"/>
      <c r="C180" s="35"/>
      <c r="D180" s="35"/>
      <c r="E180" s="35"/>
      <c r="F180" s="35" t="s">
        <v>82</v>
      </c>
      <c r="G180">
        <f>STDEV(G143:G178)</f>
        <v>0.98060455266730351</v>
      </c>
      <c r="H180">
        <f>STDEV(H143:H178)</f>
        <v>4.8432897529632403E-2</v>
      </c>
    </row>
    <row r="181" spans="1:11" x14ac:dyDescent="0.3">
      <c r="A181" s="36"/>
      <c r="B181" s="36"/>
      <c r="C181" s="35"/>
      <c r="D181" s="35"/>
      <c r="E181" s="35"/>
      <c r="F181" s="35" t="s">
        <v>88</v>
      </c>
      <c r="G181">
        <f>SUM(G143:G178)</f>
        <v>10.838167051429307</v>
      </c>
      <c r="H181">
        <f>SUM(H143:H178)</f>
        <v>1.0250940891166829</v>
      </c>
    </row>
    <row r="183" spans="1:11" x14ac:dyDescent="0.3">
      <c r="A183" t="s">
        <v>90</v>
      </c>
      <c r="E183" t="s">
        <v>89</v>
      </c>
    </row>
    <row r="184" spans="1:11" ht="15" thickBot="1" x14ac:dyDescent="0.35">
      <c r="A184" s="28" t="s">
        <v>14</v>
      </c>
      <c r="B184" s="29" t="s">
        <v>11</v>
      </c>
      <c r="C184">
        <v>1.6246224619786923E-3</v>
      </c>
      <c r="E184" s="28" t="s">
        <v>17</v>
      </c>
      <c r="F184" s="29" t="s">
        <v>13</v>
      </c>
      <c r="G184">
        <v>7.6084933578746128E-5</v>
      </c>
    </row>
    <row r="185" spans="1:11" ht="15" thickBot="1" x14ac:dyDescent="0.35">
      <c r="A185" s="28" t="s">
        <v>6</v>
      </c>
      <c r="B185" s="29" t="s">
        <v>9</v>
      </c>
      <c r="C185">
        <v>3.6968010877587165E-3</v>
      </c>
      <c r="E185" s="28" t="s">
        <v>5</v>
      </c>
      <c r="F185" s="29" t="s">
        <v>16</v>
      </c>
      <c r="G185">
        <v>2.8806991207175336E-4</v>
      </c>
    </row>
    <row r="186" spans="1:11" ht="15" thickBot="1" x14ac:dyDescent="0.35">
      <c r="A186" s="28" t="s">
        <v>10</v>
      </c>
      <c r="B186" s="29" t="s">
        <v>13</v>
      </c>
      <c r="C186">
        <v>3.990366381057403E-3</v>
      </c>
      <c r="E186" s="28" t="s">
        <v>10</v>
      </c>
      <c r="F186" s="29" t="s">
        <v>18</v>
      </c>
      <c r="G186">
        <v>8.4101757378529651E-4</v>
      </c>
    </row>
    <row r="187" spans="1:11" ht="15" thickBot="1" x14ac:dyDescent="0.35">
      <c r="A187" s="28" t="s">
        <v>10</v>
      </c>
      <c r="B187" s="29" t="s">
        <v>8</v>
      </c>
      <c r="C187">
        <v>4.0983804828647608E-3</v>
      </c>
      <c r="E187" s="28" t="s">
        <v>15</v>
      </c>
      <c r="F187" s="29" t="s">
        <v>19</v>
      </c>
      <c r="G187">
        <v>1.7196251661708573E-3</v>
      </c>
    </row>
    <row r="188" spans="1:11" ht="15" thickBot="1" x14ac:dyDescent="0.35">
      <c r="A188" s="28" t="s">
        <v>12</v>
      </c>
      <c r="B188" s="29" t="s">
        <v>11</v>
      </c>
      <c r="C188">
        <v>5.9610936734192377E-3</v>
      </c>
      <c r="E188" s="28" t="s">
        <v>18</v>
      </c>
      <c r="F188" s="29" t="s">
        <v>8</v>
      </c>
      <c r="G188">
        <v>1.7646762434858909E-3</v>
      </c>
    </row>
    <row r="189" spans="1:11" ht="15" thickBot="1" x14ac:dyDescent="0.35">
      <c r="A189" s="28" t="s">
        <v>10</v>
      </c>
      <c r="B189" s="29" t="s">
        <v>16</v>
      </c>
      <c r="C189">
        <v>9.0590917956648014E-3</v>
      </c>
      <c r="E189" s="28" t="s">
        <v>13</v>
      </c>
      <c r="F189" s="29" t="s">
        <v>11</v>
      </c>
      <c r="G189">
        <v>2.2237976848485386E-3</v>
      </c>
    </row>
    <row r="190" spans="1:11" ht="15" thickBot="1" x14ac:dyDescent="0.35">
      <c r="A190" s="28" t="s">
        <v>5</v>
      </c>
      <c r="B190" s="29" t="s">
        <v>16</v>
      </c>
      <c r="C190">
        <v>1.3965519147362659E-2</v>
      </c>
      <c r="E190" s="28" t="s">
        <v>15</v>
      </c>
      <c r="F190" s="29" t="s">
        <v>10</v>
      </c>
      <c r="G190">
        <v>2.2988334143236866E-3</v>
      </c>
    </row>
    <row r="191" spans="1:11" ht="15" thickBot="1" x14ac:dyDescent="0.35">
      <c r="A191" s="28" t="s">
        <v>5</v>
      </c>
      <c r="B191" s="29" t="s">
        <v>8</v>
      </c>
      <c r="C191">
        <v>2.2815492702525475E-2</v>
      </c>
      <c r="E191" s="37" t="s">
        <v>20</v>
      </c>
      <c r="F191" s="39" t="s">
        <v>6</v>
      </c>
      <c r="G191">
        <v>3.7155256416296911E-3</v>
      </c>
    </row>
    <row r="192" spans="1:11" ht="15" thickBot="1" x14ac:dyDescent="0.35">
      <c r="A192" s="28" t="s">
        <v>13</v>
      </c>
      <c r="B192" s="29" t="s">
        <v>11</v>
      </c>
      <c r="C192">
        <v>2.5606332059901704E-2</v>
      </c>
      <c r="E192" s="28" t="s">
        <v>14</v>
      </c>
      <c r="F192" s="29" t="s">
        <v>11</v>
      </c>
      <c r="G192">
        <v>4.44088072273785E-3</v>
      </c>
    </row>
    <row r="193" spans="1:7" ht="15" thickBot="1" x14ac:dyDescent="0.35">
      <c r="A193" s="28" t="s">
        <v>18</v>
      </c>
      <c r="B193" s="29" t="s">
        <v>12</v>
      </c>
      <c r="C193">
        <v>3.0529070616817755E-2</v>
      </c>
      <c r="E193" s="28" t="s">
        <v>14</v>
      </c>
      <c r="F193" s="29" t="s">
        <v>8</v>
      </c>
      <c r="G193">
        <v>4.6593677045905085E-3</v>
      </c>
    </row>
    <row r="194" spans="1:7" ht="15" thickBot="1" x14ac:dyDescent="0.35">
      <c r="A194" s="28" t="s">
        <v>18</v>
      </c>
      <c r="B194" s="29" t="s">
        <v>8</v>
      </c>
      <c r="C194">
        <v>3.7327764529489327E-2</v>
      </c>
      <c r="E194" s="28" t="s">
        <v>10</v>
      </c>
      <c r="F194" s="29" t="s">
        <v>16</v>
      </c>
      <c r="G194">
        <v>5.2309769621181612E-3</v>
      </c>
    </row>
    <row r="195" spans="1:7" ht="15" thickBot="1" x14ac:dyDescent="0.35">
      <c r="A195" s="28" t="s">
        <v>11</v>
      </c>
      <c r="B195" s="29" t="s">
        <v>12</v>
      </c>
      <c r="C195">
        <v>4.3770844486269223E-2</v>
      </c>
      <c r="E195" s="28" t="s">
        <v>11</v>
      </c>
      <c r="F195" s="29" t="s">
        <v>12</v>
      </c>
      <c r="G195">
        <v>6.2157498927177812E-3</v>
      </c>
    </row>
    <row r="196" spans="1:7" ht="15" thickBot="1" x14ac:dyDescent="0.35">
      <c r="A196" s="28" t="s">
        <v>10</v>
      </c>
      <c r="B196" s="29" t="s">
        <v>18</v>
      </c>
      <c r="C196">
        <v>4.4341581812115061E-2</v>
      </c>
      <c r="E196" s="28" t="s">
        <v>5</v>
      </c>
      <c r="F196" s="29" t="s">
        <v>8</v>
      </c>
      <c r="G196">
        <v>7.0752638042096971E-3</v>
      </c>
    </row>
    <row r="197" spans="1:7" ht="15" thickBot="1" x14ac:dyDescent="0.35">
      <c r="A197" s="28" t="s">
        <v>14</v>
      </c>
      <c r="B197" s="29" t="s">
        <v>19</v>
      </c>
      <c r="C197">
        <v>4.5896165468254674E-2</v>
      </c>
      <c r="E197" s="28" t="s">
        <v>15</v>
      </c>
      <c r="F197" s="29" t="s">
        <v>9</v>
      </c>
      <c r="G197">
        <v>7.0940909504087837E-3</v>
      </c>
    </row>
    <row r="198" spans="1:7" ht="15" thickBot="1" x14ac:dyDescent="0.35">
      <c r="A198" s="28" t="s">
        <v>14</v>
      </c>
      <c r="B198" s="29" t="s">
        <v>8</v>
      </c>
      <c r="C198">
        <v>4.7462345987591283E-2</v>
      </c>
      <c r="E198" s="28" t="s">
        <v>6</v>
      </c>
      <c r="F198" s="29" t="s">
        <v>9</v>
      </c>
      <c r="G198">
        <v>7.4337900064065376E-3</v>
      </c>
    </row>
    <row r="199" spans="1:7" ht="15" thickBot="1" x14ac:dyDescent="0.35">
      <c r="A199" s="28" t="s">
        <v>15</v>
      </c>
      <c r="B199" s="29" t="s">
        <v>17</v>
      </c>
      <c r="C199">
        <v>5.3211604359024278E-2</v>
      </c>
      <c r="E199" s="28" t="s">
        <v>5</v>
      </c>
      <c r="F199" s="29" t="s">
        <v>9</v>
      </c>
      <c r="G199">
        <v>7.8721236149288873E-3</v>
      </c>
    </row>
    <row r="200" spans="1:7" ht="15" thickBot="1" x14ac:dyDescent="0.35">
      <c r="A200" s="28" t="s">
        <v>17</v>
      </c>
      <c r="B200" s="29" t="s">
        <v>13</v>
      </c>
      <c r="C200">
        <v>5.584452658197403E-2</v>
      </c>
      <c r="E200" s="28" t="s">
        <v>14</v>
      </c>
      <c r="F200" s="29" t="s">
        <v>13</v>
      </c>
      <c r="G200">
        <v>9.8730458059346216E-3</v>
      </c>
    </row>
    <row r="201" spans="1:7" ht="15" thickBot="1" x14ac:dyDescent="0.35">
      <c r="A201" s="28" t="s">
        <v>15</v>
      </c>
      <c r="B201" s="29" t="s">
        <v>16</v>
      </c>
      <c r="C201">
        <v>8.4931355543056697E-2</v>
      </c>
      <c r="E201" s="28" t="s">
        <v>15</v>
      </c>
      <c r="F201" s="29" t="s">
        <v>18</v>
      </c>
      <c r="G201">
        <v>9.887172119417309E-3</v>
      </c>
    </row>
    <row r="202" spans="1:7" ht="15" thickBot="1" x14ac:dyDescent="0.35">
      <c r="A202" s="37" t="s">
        <v>20</v>
      </c>
      <c r="B202" s="39" t="s">
        <v>6</v>
      </c>
      <c r="C202">
        <v>9.466151959993363E-2</v>
      </c>
      <c r="E202" s="28" t="s">
        <v>15</v>
      </c>
      <c r="F202" s="29" t="s">
        <v>8</v>
      </c>
      <c r="G202">
        <v>1.2187751843375949E-2</v>
      </c>
    </row>
    <row r="203" spans="1:7" ht="15" thickBot="1" x14ac:dyDescent="0.35">
      <c r="A203" s="28" t="s">
        <v>17</v>
      </c>
      <c r="B203" s="29" t="s">
        <v>19</v>
      </c>
      <c r="C203">
        <v>0.10946013122445564</v>
      </c>
      <c r="E203" s="28" t="s">
        <v>14</v>
      </c>
      <c r="F203" s="29" t="s">
        <v>15</v>
      </c>
      <c r="G203">
        <v>1.2354518873223697E-2</v>
      </c>
    </row>
    <row r="204" spans="1:7" ht="15" thickBot="1" x14ac:dyDescent="0.35">
      <c r="A204" s="28" t="s">
        <v>14</v>
      </c>
      <c r="B204" s="29" t="s">
        <v>10</v>
      </c>
      <c r="C204">
        <v>0.12323064147852737</v>
      </c>
      <c r="E204" s="28" t="s">
        <v>14</v>
      </c>
      <c r="F204" s="29" t="s">
        <v>19</v>
      </c>
      <c r="G204">
        <v>1.2471385151612502E-2</v>
      </c>
    </row>
    <row r="205" spans="1:7" ht="15" thickBot="1" x14ac:dyDescent="0.35">
      <c r="A205" s="28" t="s">
        <v>15</v>
      </c>
      <c r="B205" s="29" t="s">
        <v>8</v>
      </c>
      <c r="C205">
        <v>0.13535044358300799</v>
      </c>
      <c r="E205" s="28" t="s">
        <v>18</v>
      </c>
      <c r="F205" s="29" t="s">
        <v>12</v>
      </c>
      <c r="G205">
        <v>1.2751280949020786E-2</v>
      </c>
    </row>
    <row r="206" spans="1:7" ht="15" thickBot="1" x14ac:dyDescent="0.35">
      <c r="A206" s="28" t="s">
        <v>5</v>
      </c>
      <c r="B206" s="29" t="s">
        <v>9</v>
      </c>
      <c r="C206">
        <v>0.14112909077820102</v>
      </c>
      <c r="E206" s="28" t="s">
        <v>14</v>
      </c>
      <c r="F206" s="29" t="s">
        <v>10</v>
      </c>
      <c r="G206">
        <v>1.8680509518842703E-2</v>
      </c>
    </row>
    <row r="207" spans="1:7" ht="15" thickBot="1" x14ac:dyDescent="0.35">
      <c r="A207" s="28" t="s">
        <v>14</v>
      </c>
      <c r="B207" s="29" t="s">
        <v>13</v>
      </c>
      <c r="C207">
        <v>0.15091498362510891</v>
      </c>
      <c r="E207" s="28" t="s">
        <v>10</v>
      </c>
      <c r="F207" s="29" t="s">
        <v>8</v>
      </c>
      <c r="G207">
        <v>1.886625493678673E-2</v>
      </c>
    </row>
    <row r="208" spans="1:7" ht="15" thickBot="1" x14ac:dyDescent="0.35">
      <c r="A208" s="28" t="s">
        <v>9</v>
      </c>
      <c r="B208" s="29" t="s">
        <v>18</v>
      </c>
      <c r="C208">
        <v>0.15381504746325136</v>
      </c>
      <c r="E208" s="28" t="s">
        <v>14</v>
      </c>
      <c r="F208" s="29" t="s">
        <v>14</v>
      </c>
      <c r="G208">
        <v>1.9685154165369312E-2</v>
      </c>
    </row>
    <row r="209" spans="1:7" ht="15" thickBot="1" x14ac:dyDescent="0.35">
      <c r="A209" s="28" t="s">
        <v>17</v>
      </c>
      <c r="B209" s="29" t="s">
        <v>18</v>
      </c>
      <c r="C209">
        <v>0.15962215418329584</v>
      </c>
      <c r="E209" s="28" t="s">
        <v>15</v>
      </c>
      <c r="F209" s="29" t="s">
        <v>7</v>
      </c>
      <c r="G209">
        <v>2.068610382482694E-2</v>
      </c>
    </row>
    <row r="210" spans="1:7" ht="15" thickBot="1" x14ac:dyDescent="0.35">
      <c r="A210" s="28" t="s">
        <v>14</v>
      </c>
      <c r="B210" s="29" t="s">
        <v>14</v>
      </c>
      <c r="C210">
        <v>0.16130953634691692</v>
      </c>
      <c r="E210" s="28" t="s">
        <v>5</v>
      </c>
      <c r="F210" s="29" t="s">
        <v>17</v>
      </c>
      <c r="G210">
        <v>2.3470274136913827E-2</v>
      </c>
    </row>
    <row r="211" spans="1:7" ht="15" thickBot="1" x14ac:dyDescent="0.35">
      <c r="A211" s="28" t="s">
        <v>15</v>
      </c>
      <c r="B211" s="29" t="s">
        <v>19</v>
      </c>
      <c r="C211">
        <v>0.1707606161596508</v>
      </c>
      <c r="E211" s="28" t="s">
        <v>5</v>
      </c>
      <c r="F211" s="29" t="s">
        <v>14</v>
      </c>
      <c r="G211">
        <v>2.5462469946263722E-2</v>
      </c>
    </row>
    <row r="212" spans="1:7" ht="15" thickBot="1" x14ac:dyDescent="0.35">
      <c r="A212" s="28" t="s">
        <v>15</v>
      </c>
      <c r="B212" s="29" t="s">
        <v>9</v>
      </c>
      <c r="C212">
        <v>0.21403019016773861</v>
      </c>
      <c r="E212" s="28" t="s">
        <v>15</v>
      </c>
      <c r="F212" s="29" t="s">
        <v>16</v>
      </c>
      <c r="G212">
        <v>2.6711767814120102E-2</v>
      </c>
    </row>
    <row r="213" spans="1:7" ht="15" thickBot="1" x14ac:dyDescent="0.35">
      <c r="A213" s="28" t="s">
        <v>15</v>
      </c>
      <c r="B213" s="29" t="s">
        <v>13</v>
      </c>
      <c r="C213">
        <v>0.22841806901221462</v>
      </c>
      <c r="E213" s="28" t="s">
        <v>15</v>
      </c>
      <c r="F213" s="29" t="s">
        <v>17</v>
      </c>
      <c r="G213">
        <v>3.5859051403393627E-2</v>
      </c>
    </row>
    <row r="214" spans="1:7" ht="15" thickBot="1" x14ac:dyDescent="0.35">
      <c r="A214" s="28" t="s">
        <v>14</v>
      </c>
      <c r="B214" s="29" t="s">
        <v>15</v>
      </c>
      <c r="C214">
        <v>0.231519842623368</v>
      </c>
      <c r="E214" s="28" t="s">
        <v>15</v>
      </c>
      <c r="F214" s="29" t="s">
        <v>13</v>
      </c>
      <c r="G214">
        <v>7.5826690790413376E-2</v>
      </c>
    </row>
    <row r="215" spans="1:7" ht="15" thickBot="1" x14ac:dyDescent="0.35">
      <c r="A215" s="28" t="s">
        <v>15</v>
      </c>
      <c r="B215" s="29" t="s">
        <v>18</v>
      </c>
      <c r="C215">
        <v>0.24204335175954961</v>
      </c>
      <c r="E215" s="28" t="s">
        <v>17</v>
      </c>
      <c r="F215" s="29" t="s">
        <v>18</v>
      </c>
      <c r="G215">
        <v>7.7524283705249664E-2</v>
      </c>
    </row>
    <row r="216" spans="1:7" ht="15" thickBot="1" x14ac:dyDescent="0.35">
      <c r="A216" s="28" t="s">
        <v>5</v>
      </c>
      <c r="B216" s="29" t="s">
        <v>17</v>
      </c>
      <c r="C216">
        <v>0.47664557581427269</v>
      </c>
      <c r="E216" s="28" t="s">
        <v>12</v>
      </c>
      <c r="F216" s="29" t="s">
        <v>11</v>
      </c>
      <c r="G216">
        <v>8.2908508406094761E-2</v>
      </c>
    </row>
    <row r="217" spans="1:7" ht="15" thickBot="1" x14ac:dyDescent="0.35">
      <c r="A217" s="28" t="s">
        <v>5</v>
      </c>
      <c r="B217" s="29" t="s">
        <v>14</v>
      </c>
      <c r="C217">
        <v>0.76351236189252503</v>
      </c>
      <c r="E217" s="28" t="s">
        <v>17</v>
      </c>
      <c r="F217" s="29" t="s">
        <v>19</v>
      </c>
      <c r="G217">
        <v>9.6927475582297085E-2</v>
      </c>
    </row>
    <row r="218" spans="1:7" ht="15" thickBot="1" x14ac:dyDescent="0.35">
      <c r="A218" s="28" t="s">
        <v>15</v>
      </c>
      <c r="B218" s="29" t="s">
        <v>10</v>
      </c>
      <c r="C218">
        <v>0.83350383216744639</v>
      </c>
      <c r="E218" s="28" t="s">
        <v>10</v>
      </c>
      <c r="F218" s="29" t="s">
        <v>13</v>
      </c>
      <c r="G218">
        <v>0.11822672514248322</v>
      </c>
    </row>
    <row r="219" spans="1:7" x14ac:dyDescent="0.3">
      <c r="A219" s="38" t="s">
        <v>15</v>
      </c>
      <c r="B219" s="40" t="s">
        <v>7</v>
      </c>
      <c r="C219">
        <v>5.9141067043727151</v>
      </c>
      <c r="E219" s="38" t="s">
        <v>9</v>
      </c>
      <c r="F219" s="40" t="s">
        <v>18</v>
      </c>
      <c r="G219">
        <v>0.25178379077303037</v>
      </c>
    </row>
    <row r="220" spans="1:7" x14ac:dyDescent="0.3">
      <c r="B220" s="35" t="s">
        <v>87</v>
      </c>
      <c r="C220">
        <f>AVERAGE(C184:C219)</f>
        <v>0.30106019587303628</v>
      </c>
      <c r="F220" s="35" t="s">
        <v>87</v>
      </c>
      <c r="G220">
        <f>AVERAGE(G184:G219)</f>
        <v>2.8474835808796752E-2</v>
      </c>
    </row>
    <row r="221" spans="1:7" x14ac:dyDescent="0.3">
      <c r="B221" s="35" t="s">
        <v>82</v>
      </c>
      <c r="C221">
        <f>STDEV(C184:C219)</f>
        <v>0.98060455266730384</v>
      </c>
      <c r="F221" s="35" t="s">
        <v>82</v>
      </c>
      <c r="G221">
        <f>STDEV(G184:G219)</f>
        <v>4.8432897529632403E-2</v>
      </c>
    </row>
    <row r="222" spans="1:7" x14ac:dyDescent="0.3">
      <c r="B222" s="35" t="s">
        <v>88</v>
      </c>
      <c r="C222">
        <f>SUM(C184:C219)</f>
        <v>10.838167051429306</v>
      </c>
      <c r="F222" s="35" t="s">
        <v>88</v>
      </c>
      <c r="G222">
        <f>SUM(G184:G219)</f>
        <v>1.0250940891166831</v>
      </c>
    </row>
  </sheetData>
  <sortState xmlns:xlrd2="http://schemas.microsoft.com/office/spreadsheetml/2017/richdata2" ref="E184:G219">
    <sortCondition ref="G184:G219"/>
  </sortState>
  <mergeCells count="13">
    <mergeCell ref="A84:Q84"/>
    <mergeCell ref="A1:Q1"/>
    <mergeCell ref="S1:AI1"/>
    <mergeCell ref="A20:Q20"/>
    <mergeCell ref="S20:AI20"/>
    <mergeCell ref="A39:Q39"/>
    <mergeCell ref="S39:AI39"/>
    <mergeCell ref="A80:L80"/>
    <mergeCell ref="S58:AD58"/>
    <mergeCell ref="S80:AD80"/>
    <mergeCell ref="A61:Q61"/>
    <mergeCell ref="S61:AI61"/>
    <mergeCell ref="A58:L58"/>
  </mergeCells>
  <conditionalFormatting sqref="B3:Q18">
    <cfRule type="cellIs" dxfId="17" priority="17" operator="lessThan">
      <formula>0</formula>
    </cfRule>
    <cfRule type="cellIs" dxfId="16" priority="18" operator="greaterThan">
      <formula>0</formula>
    </cfRule>
  </conditionalFormatting>
  <conditionalFormatting sqref="B22:Q37">
    <cfRule type="cellIs" dxfId="15" priority="15" operator="greaterThan">
      <formula>0</formula>
    </cfRule>
    <cfRule type="cellIs" dxfId="14" priority="16" operator="lessThan">
      <formula>0</formula>
    </cfRule>
  </conditionalFormatting>
  <conditionalFormatting sqref="T3:AI18">
    <cfRule type="cellIs" dxfId="13" priority="13" operator="lessThan">
      <formula>0</formula>
    </cfRule>
    <cfRule type="cellIs" dxfId="12" priority="14" operator="greaterThan">
      <formula>0</formula>
    </cfRule>
  </conditionalFormatting>
  <conditionalFormatting sqref="T22:AI37">
    <cfRule type="cellIs" dxfId="11" priority="11" operator="lessThan">
      <formula>0</formula>
    </cfRule>
  </conditionalFormatting>
  <conditionalFormatting sqref="T22:AJ37">
    <cfRule type="cellIs" dxfId="10" priority="12" operator="greaterThan">
      <formula>0</formula>
    </cfRule>
  </conditionalFormatting>
  <conditionalFormatting sqref="B86:Q101">
    <cfRule type="cellIs" dxfId="1" priority="3" operator="lessThan">
      <formula>0</formula>
    </cfRule>
  </conditionalFormatting>
  <conditionalFormatting sqref="B86:Q101">
    <cfRule type="cellIs" dxfId="0" priority="4" operator="greaterThan">
      <formula>0</formula>
    </cfRule>
  </conditionalFormatting>
  <conditionalFormatting sqref="C143:F178">
    <cfRule type="colorScale" priority="2">
      <colorScale>
        <cfvo type="min"/>
        <cfvo type="num" val="0"/>
        <cfvo type="max"/>
        <color theme="4"/>
        <color theme="0"/>
        <color rgb="FFFF0000"/>
      </colorScale>
    </cfRule>
  </conditionalFormatting>
  <conditionalFormatting sqref="K143:K178">
    <cfRule type="colorScale" priority="1">
      <colorScale>
        <cfvo type="min"/>
        <cfvo type="num" val="0"/>
        <cfvo type="max"/>
        <color theme="7" tint="-0.499984740745262"/>
        <color theme="0"/>
        <color theme="5" tint="-0.499984740745262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1C8E-463B-43C7-8BE4-E5AB2005F27D}">
  <dimension ref="A1:Q90"/>
  <sheetViews>
    <sheetView zoomScale="85" workbookViewId="0">
      <selection activeCell="M73" sqref="M73"/>
    </sheetView>
  </sheetViews>
  <sheetFormatPr defaultRowHeight="14.4" x14ac:dyDescent="0.3"/>
  <cols>
    <col min="1" max="1" width="15.44140625" bestFit="1" customWidth="1"/>
    <col min="2" max="2" width="12.6640625" bestFit="1" customWidth="1"/>
    <col min="3" max="3" width="13.21875" bestFit="1" customWidth="1"/>
    <col min="4" max="4" width="15.109375" bestFit="1" customWidth="1"/>
    <col min="5" max="5" width="16.109375" bestFit="1" customWidth="1"/>
    <col min="6" max="7" width="12.6640625" bestFit="1" customWidth="1"/>
    <col min="8" max="8" width="12" bestFit="1" customWidth="1"/>
    <col min="10" max="15" width="12.6640625" bestFit="1" customWidth="1"/>
  </cols>
  <sheetData>
    <row r="1" spans="1:15" x14ac:dyDescent="0.3">
      <c r="A1" t="s">
        <v>45</v>
      </c>
    </row>
    <row r="2" spans="1:15" x14ac:dyDescent="0.3">
      <c r="B2" t="s">
        <v>1</v>
      </c>
      <c r="C2" t="s">
        <v>2</v>
      </c>
      <c r="D2" t="s">
        <v>3</v>
      </c>
      <c r="E2" t="s">
        <v>4</v>
      </c>
      <c r="F2" s="6" t="s">
        <v>39</v>
      </c>
      <c r="G2" s="6" t="s">
        <v>61</v>
      </c>
      <c r="H2" s="6" t="s">
        <v>40</v>
      </c>
    </row>
    <row r="3" spans="1:15" x14ac:dyDescent="0.3">
      <c r="A3" s="1" t="s">
        <v>46</v>
      </c>
      <c r="B3" s="9">
        <v>0.82547612515048219</v>
      </c>
      <c r="C3">
        <v>0.8194464159542445</v>
      </c>
      <c r="D3" s="9">
        <v>0.78711363995202055</v>
      </c>
      <c r="E3" s="1">
        <v>0.78479229416404162</v>
      </c>
      <c r="F3">
        <f>AVERAGE(B3:E3)</f>
        <v>0.80420711880519713</v>
      </c>
      <c r="G3">
        <f>STDEV(B3:E3)</f>
        <v>2.1242482934468478E-2</v>
      </c>
      <c r="H3">
        <f>MEDIAN(B3:E3)</f>
        <v>0.80328002795313247</v>
      </c>
    </row>
    <row r="4" spans="1:15" x14ac:dyDescent="0.3">
      <c r="A4" s="1" t="s">
        <v>47</v>
      </c>
      <c r="B4" s="9">
        <v>0.59751007293279002</v>
      </c>
      <c r="C4">
        <v>2.5926486326792308</v>
      </c>
      <c r="D4" s="9">
        <v>0.61510827514440936</v>
      </c>
      <c r="E4" s="1">
        <v>1.8905629735265737</v>
      </c>
      <c r="F4">
        <f t="shared" ref="F4:F6" si="0">AVERAGE(B4:E4)</f>
        <v>1.4239574885707509</v>
      </c>
      <c r="G4">
        <f t="shared" ref="G4:G6" si="1">STDEV(B4:E4)</f>
        <v>0.98671374602490847</v>
      </c>
      <c r="H4">
        <f>MEDIAN(B4:E4)</f>
        <v>1.2528356243354914</v>
      </c>
    </row>
    <row r="5" spans="1:15" x14ac:dyDescent="0.3">
      <c r="A5" s="1" t="s">
        <v>48</v>
      </c>
      <c r="B5" s="9">
        <v>0.57681781303767143</v>
      </c>
      <c r="C5">
        <v>0.57681781303767143</v>
      </c>
      <c r="D5" s="9">
        <v>0.56180907999486296</v>
      </c>
      <c r="E5" s="1">
        <v>0.56180907999486296</v>
      </c>
      <c r="F5">
        <f t="shared" si="0"/>
        <v>0.56931344651626725</v>
      </c>
      <c r="G5">
        <f t="shared" si="1"/>
        <v>8.6652960624607044E-3</v>
      </c>
      <c r="H5">
        <f>MEDIAN(B5:E5)</f>
        <v>0.56931344651626725</v>
      </c>
    </row>
    <row r="6" spans="1:15" x14ac:dyDescent="0.3">
      <c r="A6" s="1" t="s">
        <v>49</v>
      </c>
      <c r="B6" s="9">
        <v>43787</v>
      </c>
      <c r="C6">
        <v>84804</v>
      </c>
      <c r="D6" s="9">
        <v>43919</v>
      </c>
      <c r="E6" s="1">
        <v>74525</v>
      </c>
      <c r="F6">
        <f t="shared" si="0"/>
        <v>61758.75</v>
      </c>
      <c r="G6">
        <f t="shared" si="1"/>
        <v>21097.402405272551</v>
      </c>
      <c r="H6">
        <f>MEDIAN(B6:E6)</f>
        <v>59222</v>
      </c>
    </row>
    <row r="8" spans="1:15" x14ac:dyDescent="0.3">
      <c r="A8" s="22" t="s">
        <v>57</v>
      </c>
      <c r="B8" s="23"/>
      <c r="C8" s="23"/>
      <c r="D8" s="23"/>
      <c r="E8" s="23"/>
      <c r="F8" s="23"/>
      <c r="G8" s="23"/>
      <c r="I8" s="22" t="s">
        <v>58</v>
      </c>
      <c r="J8" s="23"/>
      <c r="K8" s="23"/>
      <c r="L8" s="23"/>
      <c r="M8" s="23"/>
      <c r="N8" s="23"/>
      <c r="O8" s="23"/>
    </row>
    <row r="9" spans="1:15" x14ac:dyDescent="0.3">
      <c r="A9" s="3" t="s">
        <v>50</v>
      </c>
      <c r="B9" s="3" t="s">
        <v>51</v>
      </c>
      <c r="C9" s="3" t="s">
        <v>52</v>
      </c>
      <c r="D9" s="3" t="s">
        <v>53</v>
      </c>
      <c r="E9" s="3" t="s">
        <v>54</v>
      </c>
      <c r="F9" s="3" t="s">
        <v>55</v>
      </c>
      <c r="G9" s="3" t="s">
        <v>56</v>
      </c>
      <c r="I9" t="s">
        <v>50</v>
      </c>
      <c r="J9" t="s">
        <v>51</v>
      </c>
      <c r="K9" t="s">
        <v>52</v>
      </c>
      <c r="L9" t="s">
        <v>53</v>
      </c>
      <c r="M9" t="s">
        <v>54</v>
      </c>
      <c r="N9" t="s">
        <v>55</v>
      </c>
      <c r="O9" t="s">
        <v>56</v>
      </c>
    </row>
    <row r="10" spans="1:15" x14ac:dyDescent="0.3">
      <c r="A10" s="3" t="s">
        <v>5</v>
      </c>
      <c r="B10" s="3">
        <v>0.67198339300560805</v>
      </c>
      <c r="C10" s="3">
        <v>0.68699956312515187</v>
      </c>
      <c r="D10" s="3">
        <v>0.88688687107173869</v>
      </c>
      <c r="E10" s="3">
        <v>0.51895598406747701</v>
      </c>
      <c r="F10" s="3">
        <v>1.1641957723414686</v>
      </c>
      <c r="G10" s="3">
        <v>1.6711328510718966</v>
      </c>
      <c r="I10" t="s">
        <v>5</v>
      </c>
      <c r="J10">
        <v>0.67753028825918027</v>
      </c>
      <c r="K10">
        <v>0.68175415184905319</v>
      </c>
      <c r="L10">
        <v>0.87883958718213862</v>
      </c>
      <c r="M10">
        <v>0.53075123750841458</v>
      </c>
      <c r="N10">
        <v>1.1568338039607793</v>
      </c>
      <c r="O10">
        <v>1.6717067586993266</v>
      </c>
    </row>
    <row r="11" spans="1:15" x14ac:dyDescent="0.3">
      <c r="A11" s="3" t="s">
        <v>6</v>
      </c>
      <c r="B11" s="3">
        <v>0.46663993373862334</v>
      </c>
      <c r="C11" s="3">
        <v>0.10966390301983231</v>
      </c>
      <c r="D11" s="3">
        <v>1.3026997138784266</v>
      </c>
      <c r="E11" s="3">
        <v>0.15114574510836451</v>
      </c>
      <c r="F11" s="3">
        <v>0.21457322774788998</v>
      </c>
      <c r="G11" s="3">
        <v>0.84660713869014481</v>
      </c>
      <c r="I11" t="s">
        <v>6</v>
      </c>
      <c r="J11">
        <v>0.46910045418757734</v>
      </c>
      <c r="K11">
        <v>0.10956662492830571</v>
      </c>
      <c r="L11">
        <v>1.3105450540555361</v>
      </c>
      <c r="M11">
        <v>0.14661901660102697</v>
      </c>
      <c r="N11">
        <v>0.21191155974386264</v>
      </c>
      <c r="O11">
        <v>0.84670762542546785</v>
      </c>
    </row>
    <row r="12" spans="1:15" x14ac:dyDescent="0.3">
      <c r="A12" s="3" t="s">
        <v>7</v>
      </c>
      <c r="B12" s="3">
        <v>0.89500363627987767</v>
      </c>
      <c r="C12" s="3">
        <v>1.3201033197735734</v>
      </c>
      <c r="D12" s="3">
        <v>1.0554170975667616</v>
      </c>
      <c r="E12" s="3">
        <v>1.5803429023034745</v>
      </c>
      <c r="F12" s="3">
        <v>5.0297617344724328</v>
      </c>
      <c r="G12" s="3">
        <v>0.67835000234992471</v>
      </c>
      <c r="I12" t="s">
        <v>7</v>
      </c>
      <c r="J12">
        <v>0.93856191272500311</v>
      </c>
      <c r="K12">
        <v>1.3528176441950108</v>
      </c>
      <c r="L12">
        <v>1.0233150913953191</v>
      </c>
      <c r="M12">
        <v>1.5188027757195917</v>
      </c>
      <c r="N12">
        <v>4.9125607009555994</v>
      </c>
      <c r="O12">
        <v>0.66735369415006496</v>
      </c>
    </row>
    <row r="13" spans="1:15" x14ac:dyDescent="0.3">
      <c r="A13" s="3" t="s">
        <v>8</v>
      </c>
      <c r="B13" s="3">
        <v>0.66680100591203406</v>
      </c>
      <c r="C13" s="3">
        <v>0.17251892016853909</v>
      </c>
      <c r="D13" s="3">
        <v>0.61231253755905024</v>
      </c>
      <c r="E13" s="3">
        <v>0.3943642368705324</v>
      </c>
      <c r="F13" s="3">
        <v>0.45083216485946842</v>
      </c>
      <c r="G13" s="3">
        <v>0.26438269416653248</v>
      </c>
      <c r="I13" t="s">
        <v>8</v>
      </c>
      <c r="J13">
        <v>0.6743436444762817</v>
      </c>
      <c r="K13">
        <v>0.1785480955615476</v>
      </c>
      <c r="L13">
        <v>0.591606315603734</v>
      </c>
      <c r="M13">
        <v>0.38835625147089203</v>
      </c>
      <c r="N13">
        <v>0.4191835558662747</v>
      </c>
      <c r="O13">
        <v>0.25729087539888235</v>
      </c>
    </row>
    <row r="14" spans="1:15" x14ac:dyDescent="0.3">
      <c r="A14" s="3" t="s">
        <v>9</v>
      </c>
      <c r="B14" s="3">
        <v>0.38073416084286521</v>
      </c>
      <c r="C14" s="3">
        <v>0.79105034201739077</v>
      </c>
      <c r="D14" s="3">
        <v>0.64351092895987116</v>
      </c>
      <c r="E14" s="3">
        <v>0.31533572675469962</v>
      </c>
      <c r="F14" s="3">
        <v>1.1020256984986028</v>
      </c>
      <c r="G14" s="3">
        <v>1.2327523542906513</v>
      </c>
      <c r="I14" t="s">
        <v>9</v>
      </c>
      <c r="J14">
        <v>0.36415469652012461</v>
      </c>
      <c r="K14">
        <v>0.77842732316283092</v>
      </c>
      <c r="L14">
        <v>0.69864330806664576</v>
      </c>
      <c r="M14">
        <v>0.28320812272460116</v>
      </c>
      <c r="N14">
        <v>1.1006893531361523</v>
      </c>
      <c r="O14">
        <v>1.1566039569998294</v>
      </c>
    </row>
    <row r="15" spans="1:15" x14ac:dyDescent="0.3">
      <c r="A15" s="3" t="s">
        <v>10</v>
      </c>
      <c r="B15" s="3">
        <v>0.87211067016893573</v>
      </c>
      <c r="C15" s="3">
        <v>0.25517991916666666</v>
      </c>
      <c r="D15" s="3">
        <v>0.90170423349338114</v>
      </c>
      <c r="E15" s="3">
        <v>1.1183593717819609</v>
      </c>
      <c r="F15" s="3">
        <v>0.74435285016579489</v>
      </c>
      <c r="G15" s="3">
        <v>1.4594705747487513</v>
      </c>
      <c r="I15" t="s">
        <v>10</v>
      </c>
      <c r="J15">
        <v>0.8912592415042655</v>
      </c>
      <c r="K15">
        <v>0.25517991916666666</v>
      </c>
      <c r="L15">
        <v>0.88828005833469703</v>
      </c>
      <c r="M15">
        <v>1.1363978960384771</v>
      </c>
      <c r="N15">
        <v>0.75552744343136624</v>
      </c>
      <c r="O15">
        <v>1.4555951176999875</v>
      </c>
    </row>
    <row r="16" spans="1:15" x14ac:dyDescent="0.3">
      <c r="A16" s="3" t="s">
        <v>11</v>
      </c>
      <c r="B16" s="3">
        <v>0.75801071087775618</v>
      </c>
      <c r="C16" s="3">
        <v>1.2991644740427291</v>
      </c>
      <c r="D16" s="3">
        <v>1.2567090173937956</v>
      </c>
      <c r="E16" s="3">
        <v>0.52683910326576444</v>
      </c>
      <c r="F16" s="3">
        <v>0.74610063593546816</v>
      </c>
      <c r="G16" s="3">
        <v>0.30011665880714472</v>
      </c>
      <c r="I16" t="s">
        <v>11</v>
      </c>
      <c r="J16">
        <v>0.6424306010266988</v>
      </c>
      <c r="K16">
        <v>1.2980245398784012</v>
      </c>
      <c r="L16">
        <v>1.2562028134340972</v>
      </c>
      <c r="M16">
        <v>0.59990834136832483</v>
      </c>
      <c r="N16">
        <v>0.72048265502986919</v>
      </c>
      <c r="O16">
        <v>0.26009636687686177</v>
      </c>
    </row>
    <row r="17" spans="1:15" x14ac:dyDescent="0.3">
      <c r="A17" s="3" t="s">
        <v>12</v>
      </c>
      <c r="B17" s="3">
        <v>0.48133573063698371</v>
      </c>
      <c r="C17" s="3">
        <v>0.18924997483853503</v>
      </c>
      <c r="D17" s="3">
        <v>0.35326105333333335</v>
      </c>
      <c r="E17" s="3">
        <v>0.19364712096277734</v>
      </c>
      <c r="F17" s="3">
        <v>0.24072301469599652</v>
      </c>
      <c r="G17" s="3">
        <v>0.17628545213440153</v>
      </c>
      <c r="I17" t="s">
        <v>12</v>
      </c>
      <c r="J17">
        <v>0.48737582815319141</v>
      </c>
      <c r="K17">
        <v>0.21281178019596492</v>
      </c>
      <c r="L17">
        <v>0.35326105333333335</v>
      </c>
      <c r="M17">
        <v>0.1921650382239195</v>
      </c>
      <c r="N17">
        <v>0.2332558991775858</v>
      </c>
      <c r="O17">
        <v>0.19023422789154842</v>
      </c>
    </row>
    <row r="18" spans="1:15" x14ac:dyDescent="0.3">
      <c r="A18" s="3" t="s">
        <v>13</v>
      </c>
      <c r="B18" s="3">
        <v>2.0670633673321182</v>
      </c>
      <c r="C18" s="3">
        <v>1.1392826609342315</v>
      </c>
      <c r="D18" s="3">
        <v>1.5113829180241325</v>
      </c>
      <c r="E18" s="3">
        <v>0.4916199175</v>
      </c>
      <c r="F18" s="3">
        <v>1.455748944125548</v>
      </c>
      <c r="G18" s="3">
        <v>0.72884115922326231</v>
      </c>
      <c r="I18" t="s">
        <v>13</v>
      </c>
      <c r="J18">
        <v>2.1446045956623041</v>
      </c>
      <c r="K18">
        <v>1.1908682434172195</v>
      </c>
      <c r="L18">
        <v>1.3544522456733217</v>
      </c>
      <c r="M18">
        <v>0.4916199175</v>
      </c>
      <c r="N18">
        <v>1.4399454479561828</v>
      </c>
      <c r="O18">
        <v>0.6189632243413451</v>
      </c>
    </row>
    <row r="19" spans="1:15" x14ac:dyDescent="0.3">
      <c r="A19" s="3" t="s">
        <v>14</v>
      </c>
      <c r="B19" s="3">
        <v>0.62288211550546335</v>
      </c>
      <c r="C19" s="3">
        <v>0.6608746482635296</v>
      </c>
      <c r="D19" s="3">
        <v>0.30017429228785347</v>
      </c>
      <c r="E19" s="3">
        <v>2.8723919926986157</v>
      </c>
      <c r="F19" s="3">
        <v>0.5935956166666666</v>
      </c>
      <c r="G19" s="3">
        <v>0.51889009277306075</v>
      </c>
      <c r="I19" t="s">
        <v>14</v>
      </c>
      <c r="J19">
        <v>0.61934462193940232</v>
      </c>
      <c r="K19">
        <v>0.69799569810936324</v>
      </c>
      <c r="L19">
        <v>0.29690718047764042</v>
      </c>
      <c r="M19">
        <v>2.8185000329679881</v>
      </c>
      <c r="N19">
        <v>0.5935956166666666</v>
      </c>
      <c r="O19">
        <v>0.52614108578566099</v>
      </c>
    </row>
    <row r="20" spans="1:15" x14ac:dyDescent="0.3">
      <c r="A20" s="3" t="s">
        <v>15</v>
      </c>
      <c r="B20" s="3">
        <v>0.52680680150034676</v>
      </c>
      <c r="C20" s="3">
        <v>0.3763953676480693</v>
      </c>
      <c r="D20" s="3">
        <v>0.78143351906676761</v>
      </c>
      <c r="E20" s="3">
        <v>0.20328295284582024</v>
      </c>
      <c r="F20" s="3">
        <v>0.45022813261131173</v>
      </c>
      <c r="G20" s="3">
        <v>0.25195237879050913</v>
      </c>
      <c r="I20" t="s">
        <v>15</v>
      </c>
      <c r="J20">
        <v>0.48830748306153726</v>
      </c>
      <c r="K20">
        <v>0.4408059309035775</v>
      </c>
      <c r="L20">
        <v>0.75968730576215027</v>
      </c>
      <c r="M20">
        <v>0.19308940721045528</v>
      </c>
      <c r="N20">
        <v>0.46182408400359681</v>
      </c>
      <c r="O20">
        <v>0.25678405508513019</v>
      </c>
    </row>
    <row r="21" spans="1:15" x14ac:dyDescent="0.3">
      <c r="A21" s="3" t="s">
        <v>16</v>
      </c>
      <c r="B21" s="3">
        <v>0.98769759498857268</v>
      </c>
      <c r="C21" s="3">
        <v>0.25485433109341737</v>
      </c>
      <c r="D21" s="3">
        <v>0.96131782822136491</v>
      </c>
      <c r="E21" s="3">
        <v>0.18195494310213065</v>
      </c>
      <c r="F21" s="3">
        <v>1.1122991865433891</v>
      </c>
      <c r="G21" s="3">
        <v>0.29760093065549964</v>
      </c>
      <c r="I21" t="s">
        <v>16</v>
      </c>
      <c r="J21">
        <v>0.98618120325705982</v>
      </c>
      <c r="K21">
        <v>0.24745696616020987</v>
      </c>
      <c r="L21">
        <v>0.96187527951625595</v>
      </c>
      <c r="M21">
        <v>0.18572775963004448</v>
      </c>
      <c r="N21">
        <v>1.0822759908224817</v>
      </c>
      <c r="O21">
        <v>0.31392965224595332</v>
      </c>
    </row>
    <row r="22" spans="1:15" x14ac:dyDescent="0.3">
      <c r="A22" s="3" t="s">
        <v>17</v>
      </c>
      <c r="B22" s="3">
        <v>0.29949456296722593</v>
      </c>
      <c r="C22" s="3">
        <v>0.7681760190472966</v>
      </c>
      <c r="D22" s="3">
        <v>0.45308603235011691</v>
      </c>
      <c r="E22" s="3">
        <v>0.21716738583607309</v>
      </c>
      <c r="F22" s="3">
        <v>0.25771236978179507</v>
      </c>
      <c r="G22" s="3">
        <v>0.25333875024918873</v>
      </c>
      <c r="I22" t="s">
        <v>17</v>
      </c>
      <c r="J22">
        <v>0.29375305016848652</v>
      </c>
      <c r="K22">
        <v>0.74931273228837159</v>
      </c>
      <c r="L22">
        <v>0.45310715413209651</v>
      </c>
      <c r="M22">
        <v>0.23122417949424909</v>
      </c>
      <c r="N22">
        <v>0.25373744382877211</v>
      </c>
      <c r="O22">
        <v>0.25887904714405069</v>
      </c>
    </row>
    <row r="23" spans="1:15" x14ac:dyDescent="0.3">
      <c r="A23" s="3" t="s">
        <v>18</v>
      </c>
      <c r="B23" s="3">
        <v>0.80561157305084719</v>
      </c>
      <c r="C23" s="3">
        <v>0.60798815660707395</v>
      </c>
      <c r="D23" s="3">
        <v>0.91266420247305213</v>
      </c>
      <c r="E23" s="3">
        <v>0.29655052991685099</v>
      </c>
      <c r="F23" s="3">
        <v>0.30857624704990988</v>
      </c>
      <c r="G23" s="3">
        <v>0.52034774510974724</v>
      </c>
      <c r="I23" t="s">
        <v>18</v>
      </c>
      <c r="J23">
        <v>0.79261515992908549</v>
      </c>
      <c r="K23">
        <v>0.64369682448082421</v>
      </c>
      <c r="L23">
        <v>0.88024009102524137</v>
      </c>
      <c r="M23">
        <v>0.3183831031029159</v>
      </c>
      <c r="N23">
        <v>0.31136166971275242</v>
      </c>
      <c r="O23">
        <v>0.46971339395972217</v>
      </c>
    </row>
    <row r="24" spans="1:15" x14ac:dyDescent="0.3">
      <c r="A24" s="3" t="s">
        <v>19</v>
      </c>
      <c r="B24" s="3">
        <v>0.41492290461107129</v>
      </c>
      <c r="C24" s="3">
        <v>0.73177055837636162</v>
      </c>
      <c r="D24" s="3">
        <v>1.6876705128819374</v>
      </c>
      <c r="E24" s="3">
        <v>0.79708037334955562</v>
      </c>
      <c r="F24" s="3">
        <v>0.66038196424538453</v>
      </c>
      <c r="G24" s="3">
        <v>0.55649298528012647</v>
      </c>
      <c r="I24" t="s">
        <v>19</v>
      </c>
      <c r="J24">
        <v>0.41028854467742976</v>
      </c>
      <c r="K24">
        <v>0.73894664038256164</v>
      </c>
      <c r="L24">
        <v>1.7035581985162291</v>
      </c>
      <c r="M24">
        <v>0.76311799356834664</v>
      </c>
      <c r="N24">
        <v>0.66726555425704881</v>
      </c>
      <c r="O24">
        <v>0.5287157938665078</v>
      </c>
    </row>
    <row r="25" spans="1:15" x14ac:dyDescent="0.3">
      <c r="A25" s="3" t="s">
        <v>20</v>
      </c>
      <c r="B25" s="3">
        <v>2.3487970474527855</v>
      </c>
      <c r="C25" s="3">
        <v>0.68457615963293339</v>
      </c>
      <c r="D25" s="5">
        <v>2.6457127429397818</v>
      </c>
      <c r="E25" s="3">
        <v>1.1292368044967251</v>
      </c>
      <c r="F25" s="3">
        <v>0.44437774017040049</v>
      </c>
      <c r="G25" s="3">
        <v>3.9408423933333334</v>
      </c>
      <c r="I25" t="s">
        <v>20</v>
      </c>
      <c r="J25">
        <v>2.3671097234825309</v>
      </c>
      <c r="K25">
        <v>0.68927317966882684</v>
      </c>
      <c r="L25" s="6">
        <v>2.636020255190028</v>
      </c>
      <c r="M25">
        <v>1.1206276541645017</v>
      </c>
      <c r="N25">
        <v>0.43804262230352514</v>
      </c>
      <c r="O25">
        <v>3.9408423933333334</v>
      </c>
    </row>
    <row r="27" spans="1:15" x14ac:dyDescent="0.3">
      <c r="A27" s="22" t="s">
        <v>59</v>
      </c>
      <c r="B27" s="23"/>
      <c r="C27" s="23"/>
      <c r="D27" s="23"/>
      <c r="E27" s="23"/>
      <c r="F27" s="23"/>
      <c r="G27" s="23"/>
      <c r="I27" s="22" t="s">
        <v>60</v>
      </c>
      <c r="J27" s="23"/>
      <c r="K27" s="23"/>
      <c r="L27" s="23"/>
      <c r="M27" s="23"/>
      <c r="N27" s="23"/>
      <c r="O27" s="23"/>
    </row>
    <row r="28" spans="1:15" x14ac:dyDescent="0.3">
      <c r="A28" s="1" t="s">
        <v>50</v>
      </c>
      <c r="B28" s="1" t="s">
        <v>51</v>
      </c>
      <c r="C28" s="1" t="s">
        <v>52</v>
      </c>
      <c r="D28" s="1" t="s">
        <v>53</v>
      </c>
      <c r="E28" s="1" t="s">
        <v>54</v>
      </c>
      <c r="F28" s="1" t="s">
        <v>55</v>
      </c>
      <c r="G28" s="1" t="s">
        <v>56</v>
      </c>
      <c r="I28" s="1" t="s">
        <v>50</v>
      </c>
      <c r="J28" s="1" t="s">
        <v>51</v>
      </c>
      <c r="K28" s="1" t="s">
        <v>52</v>
      </c>
      <c r="L28" s="1" t="s">
        <v>53</v>
      </c>
      <c r="M28" s="1" t="s">
        <v>54</v>
      </c>
      <c r="N28" s="1" t="s">
        <v>55</v>
      </c>
      <c r="O28" s="1" t="s">
        <v>56</v>
      </c>
    </row>
    <row r="29" spans="1:15" x14ac:dyDescent="0.3">
      <c r="A29" s="1" t="s">
        <v>5</v>
      </c>
      <c r="B29" s="1">
        <v>0.67192981870029422</v>
      </c>
      <c r="C29" s="1">
        <v>0.6870531407957744</v>
      </c>
      <c r="D29" s="1">
        <v>0.88696824002964447</v>
      </c>
      <c r="E29" s="1">
        <v>0.51884031834832267</v>
      </c>
      <c r="F29" s="1">
        <v>1.1642703242369523</v>
      </c>
      <c r="G29" s="1">
        <v>1.6711286107503709</v>
      </c>
      <c r="I29" s="1" t="s">
        <v>5</v>
      </c>
      <c r="J29" s="1">
        <v>0.6782982768223853</v>
      </c>
      <c r="K29" s="1">
        <v>0.68107212303388842</v>
      </c>
      <c r="L29" s="1">
        <v>0.87778069341011833</v>
      </c>
      <c r="M29" s="1">
        <v>0.53235786131962792</v>
      </c>
      <c r="N29" s="1">
        <v>1.1558677219483333</v>
      </c>
      <c r="O29" s="1">
        <v>1.6718058714949962</v>
      </c>
    </row>
    <row r="30" spans="1:15" x14ac:dyDescent="0.3">
      <c r="A30" s="1" t="s">
        <v>6</v>
      </c>
      <c r="B30" s="1">
        <v>0.41243873357307331</v>
      </c>
      <c r="C30" s="1">
        <v>9.6163790516561709E-2</v>
      </c>
      <c r="D30" s="1">
        <v>1.3016675957527786</v>
      </c>
      <c r="E30" s="1">
        <v>0.14922746255168831</v>
      </c>
      <c r="F30" s="1">
        <v>0.21273240013050063</v>
      </c>
      <c r="G30" s="1">
        <v>0.84658546899674247</v>
      </c>
      <c r="I30" s="1" t="s">
        <v>6</v>
      </c>
      <c r="J30" s="1">
        <v>0.41370365511725554</v>
      </c>
      <c r="K30" s="1">
        <v>9.7446146523559499E-2</v>
      </c>
      <c r="L30" s="1">
        <v>1.3120739564420256</v>
      </c>
      <c r="M30" s="1">
        <v>0.1442862136778883</v>
      </c>
      <c r="N30" s="1">
        <v>0.21011861013326996</v>
      </c>
      <c r="O30" s="1">
        <v>0.84677059176191927</v>
      </c>
    </row>
    <row r="31" spans="1:15" x14ac:dyDescent="0.3">
      <c r="A31" s="1" t="s">
        <v>7</v>
      </c>
      <c r="B31" s="1">
        <v>0.89124476089078875</v>
      </c>
      <c r="C31" s="1">
        <v>1.3080790581404085</v>
      </c>
      <c r="D31" s="1">
        <v>1.0649861353909926</v>
      </c>
      <c r="E31" s="1">
        <v>1.5981777030693645</v>
      </c>
      <c r="F31" s="1">
        <v>5.0216326384921812</v>
      </c>
      <c r="G31" s="1">
        <v>0.71795095469226355</v>
      </c>
      <c r="I31" s="1" t="s">
        <v>7</v>
      </c>
      <c r="J31" s="1">
        <v>0.81977425275415661</v>
      </c>
      <c r="K31" s="1">
        <v>1.2384598509469946</v>
      </c>
      <c r="L31" s="1">
        <v>1.1085672139643128</v>
      </c>
      <c r="M31" s="1">
        <v>1.6723076725500379</v>
      </c>
      <c r="N31" s="1">
        <v>5.4002201319289194</v>
      </c>
      <c r="O31" s="1">
        <v>0.68719360188131706</v>
      </c>
    </row>
    <row r="32" spans="1:15" x14ac:dyDescent="0.3">
      <c r="A32" s="1" t="s">
        <v>8</v>
      </c>
      <c r="B32" s="1">
        <v>0.66869093714672911</v>
      </c>
      <c r="C32" s="1">
        <v>0.1723820055778699</v>
      </c>
      <c r="D32" s="1">
        <v>0.61152203372358993</v>
      </c>
      <c r="E32" s="1">
        <v>0.39447069333136969</v>
      </c>
      <c r="F32" s="1">
        <v>0.45238265374185133</v>
      </c>
      <c r="G32" s="1">
        <v>0.26243442638788916</v>
      </c>
      <c r="I32" s="1" t="s">
        <v>8</v>
      </c>
      <c r="J32" s="1">
        <v>0.67718864770047804</v>
      </c>
      <c r="K32" s="1">
        <v>0.17794592387383934</v>
      </c>
      <c r="L32" s="1">
        <v>0.58958627579530576</v>
      </c>
      <c r="M32" s="1">
        <v>0.3882203800202722</v>
      </c>
      <c r="N32" s="1">
        <v>0.42216554195111072</v>
      </c>
      <c r="O32" s="1">
        <v>0.25546728083948383</v>
      </c>
    </row>
    <row r="33" spans="1:15" x14ac:dyDescent="0.3">
      <c r="A33" s="1" t="s">
        <v>9</v>
      </c>
      <c r="B33" s="1">
        <v>0.38024305458939217</v>
      </c>
      <c r="C33" s="1">
        <v>0.7913873700208357</v>
      </c>
      <c r="D33" s="1">
        <v>0.64266346994990808</v>
      </c>
      <c r="E33" s="1">
        <v>0.31518315509339062</v>
      </c>
      <c r="F33" s="1">
        <v>1.1030118301600675</v>
      </c>
      <c r="G33" s="1">
        <v>1.2375130877783329</v>
      </c>
      <c r="I33" s="1" t="s">
        <v>9</v>
      </c>
      <c r="J33" s="1">
        <v>0.35771960600445818</v>
      </c>
      <c r="K33" s="1">
        <v>0.786237063445967</v>
      </c>
      <c r="L33" s="1">
        <v>0.70248639633741783</v>
      </c>
      <c r="M33" s="1">
        <v>0.28092432616000357</v>
      </c>
      <c r="N33" s="1">
        <v>1.1006517914154494</v>
      </c>
      <c r="O33" s="1">
        <v>1.1510400480987351</v>
      </c>
    </row>
    <row r="34" spans="1:15" x14ac:dyDescent="0.3">
      <c r="A34" s="1" t="s">
        <v>10</v>
      </c>
      <c r="B34" s="1">
        <v>0.81172343109362788</v>
      </c>
      <c r="C34" s="1">
        <v>0.14496421249999999</v>
      </c>
      <c r="D34" s="1">
        <v>0.90119632872560607</v>
      </c>
      <c r="E34" s="1">
        <v>1.0938288141561121</v>
      </c>
      <c r="F34" s="1">
        <v>0.74686889159983627</v>
      </c>
      <c r="G34" s="1">
        <v>0.67329632857649047</v>
      </c>
      <c r="I34" s="1" t="s">
        <v>10</v>
      </c>
      <c r="J34" s="1">
        <v>0.82094304865905499</v>
      </c>
      <c r="K34" s="1">
        <v>0.14496421249999999</v>
      </c>
      <c r="L34" s="1">
        <v>0.88118821859413743</v>
      </c>
      <c r="M34" s="1">
        <v>1.0901229566104276</v>
      </c>
      <c r="N34" s="1">
        <v>0.75419380676564851</v>
      </c>
      <c r="O34" s="1">
        <v>0.67446436570292201</v>
      </c>
    </row>
    <row r="35" spans="1:15" x14ac:dyDescent="0.3">
      <c r="A35" s="1" t="s">
        <v>11</v>
      </c>
      <c r="B35" s="1">
        <v>0.76022823286463592</v>
      </c>
      <c r="C35" s="1">
        <v>1.3010736374246963</v>
      </c>
      <c r="D35" s="1">
        <v>1.2569893853789014</v>
      </c>
      <c r="E35" s="1">
        <v>0.52460413327849509</v>
      </c>
      <c r="F35" s="1">
        <v>0.74621023762353211</v>
      </c>
      <c r="G35" s="1">
        <v>0.30087678559613018</v>
      </c>
      <c r="I35" s="1" t="s">
        <v>11</v>
      </c>
      <c r="J35" s="1">
        <v>0.65336234529630965</v>
      </c>
      <c r="K35" s="1">
        <v>1.304707264786457</v>
      </c>
      <c r="L35" s="1">
        <v>1.2589915901070763</v>
      </c>
      <c r="M35" s="1">
        <v>0.58884752450654021</v>
      </c>
      <c r="N35" s="1">
        <v>0.72146598242309912</v>
      </c>
      <c r="O35" s="1">
        <v>0.26486473714335146</v>
      </c>
    </row>
    <row r="36" spans="1:15" x14ac:dyDescent="0.3">
      <c r="A36" s="1" t="s">
        <v>12</v>
      </c>
      <c r="B36" s="1">
        <v>0.48173874520058529</v>
      </c>
      <c r="C36" s="1">
        <v>0.18847298686894742</v>
      </c>
      <c r="D36" s="1">
        <v>0.35326105333333335</v>
      </c>
      <c r="E36" s="1">
        <v>0.19292461736032604</v>
      </c>
      <c r="F36" s="1">
        <v>0.24090092740667238</v>
      </c>
      <c r="G36" s="1">
        <v>0.17607206699557734</v>
      </c>
      <c r="I36" s="1" t="s">
        <v>12</v>
      </c>
      <c r="J36" s="1">
        <v>0.48602228522430913</v>
      </c>
      <c r="K36" s="1">
        <v>0.21132860102401327</v>
      </c>
      <c r="L36" s="1">
        <v>0.35326105333333335</v>
      </c>
      <c r="M36" s="1">
        <v>0.19232672239994694</v>
      </c>
      <c r="N36" s="1">
        <v>0.2352357413989167</v>
      </c>
      <c r="O36" s="1">
        <v>0.19213843300425748</v>
      </c>
    </row>
    <row r="37" spans="1:15" x14ac:dyDescent="0.3">
      <c r="A37" s="1" t="s">
        <v>13</v>
      </c>
      <c r="B37" s="1">
        <v>2.064726965130431</v>
      </c>
      <c r="C37" s="1">
        <v>1.1449197946527916</v>
      </c>
      <c r="D37" s="1">
        <v>1.5120990448031699</v>
      </c>
      <c r="E37" s="1">
        <v>0.4916199175</v>
      </c>
      <c r="F37" s="1">
        <v>1.4495766775723693</v>
      </c>
      <c r="G37" s="1">
        <v>0.72123343473184676</v>
      </c>
      <c r="I37" s="1" t="s">
        <v>13</v>
      </c>
      <c r="J37" s="1">
        <v>2.1256073119862471</v>
      </c>
      <c r="K37" s="1">
        <v>1.1900996881819021</v>
      </c>
      <c r="L37" s="1">
        <v>1.3848713861592572</v>
      </c>
      <c r="M37" s="1">
        <v>0.4916199175</v>
      </c>
      <c r="N37" s="1">
        <v>1.4446327336976481</v>
      </c>
      <c r="O37" s="1">
        <v>0.63033608190246726</v>
      </c>
    </row>
    <row r="38" spans="1:15" x14ac:dyDescent="0.3">
      <c r="A38" s="1" t="s">
        <v>14</v>
      </c>
      <c r="B38" s="1">
        <v>0.6239766207179499</v>
      </c>
      <c r="C38" s="1">
        <v>0.66016241733843362</v>
      </c>
      <c r="D38" s="1">
        <v>0.30157443475903628</v>
      </c>
      <c r="E38" s="1">
        <v>2.8809665919602399</v>
      </c>
      <c r="F38" s="1">
        <v>0.5935956166666666</v>
      </c>
      <c r="G38" s="1">
        <v>0.51709913819191611</v>
      </c>
      <c r="I38" s="1" t="s">
        <v>14</v>
      </c>
      <c r="J38" s="1">
        <v>0.62326233169352563</v>
      </c>
      <c r="K38" s="1">
        <v>0.68967336587433803</v>
      </c>
      <c r="L38" s="1">
        <v>0.29573467930619984</v>
      </c>
      <c r="M38" s="1">
        <v>2.8296528914455066</v>
      </c>
      <c r="N38" s="1">
        <v>0.5935956166666666</v>
      </c>
      <c r="O38" s="1">
        <v>0.52858838556739884</v>
      </c>
    </row>
    <row r="39" spans="1:15" x14ac:dyDescent="0.3">
      <c r="A39" s="1" t="s">
        <v>15</v>
      </c>
      <c r="B39" s="1">
        <v>0.52624923108888055</v>
      </c>
      <c r="C39" s="1">
        <v>0.37742769125186931</v>
      </c>
      <c r="D39" s="1">
        <v>0.78368869490967519</v>
      </c>
      <c r="E39" s="1">
        <v>0.20498698082415931</v>
      </c>
      <c r="F39" s="1">
        <v>0.46041439816671609</v>
      </c>
      <c r="G39" s="1">
        <v>0.2523682680693255</v>
      </c>
      <c r="I39" s="1" t="s">
        <v>15</v>
      </c>
      <c r="J39" s="1">
        <v>0.4824405830777152</v>
      </c>
      <c r="K39" s="1">
        <v>0.41146690169519018</v>
      </c>
      <c r="L39" s="1">
        <v>0.76856286523414774</v>
      </c>
      <c r="M39" s="1">
        <v>0.19877973053749398</v>
      </c>
      <c r="N39" s="1">
        <v>0.39146000309356355</v>
      </c>
      <c r="O39" s="1">
        <v>0.25521272054048422</v>
      </c>
    </row>
    <row r="40" spans="1:15" x14ac:dyDescent="0.3">
      <c r="A40" s="1" t="s">
        <v>16</v>
      </c>
      <c r="B40" s="1">
        <v>0.98711844625653677</v>
      </c>
      <c r="C40" s="1">
        <v>0.25702115175152351</v>
      </c>
      <c r="D40" s="1">
        <v>0.96362252642167101</v>
      </c>
      <c r="E40" s="1">
        <v>0.18017774782913479</v>
      </c>
      <c r="F40" s="1">
        <v>1.1116402324650954</v>
      </c>
      <c r="G40" s="1">
        <v>0.29402679721666219</v>
      </c>
      <c r="I40" s="1" t="s">
        <v>16</v>
      </c>
      <c r="J40" s="1">
        <v>0.98633322436886195</v>
      </c>
      <c r="K40" s="1">
        <v>0.24793646406057693</v>
      </c>
      <c r="L40" s="1">
        <v>0.96782754523409098</v>
      </c>
      <c r="M40" s="1">
        <v>0.18224013215712809</v>
      </c>
      <c r="N40" s="1">
        <v>1.0845421885434992</v>
      </c>
      <c r="O40" s="1">
        <v>0.313615846210823</v>
      </c>
    </row>
    <row r="41" spans="1:15" x14ac:dyDescent="0.3">
      <c r="A41" s="1" t="s">
        <v>17</v>
      </c>
      <c r="B41" s="1">
        <v>0.304542888481519</v>
      </c>
      <c r="C41" s="1">
        <v>0.66844742618605346</v>
      </c>
      <c r="D41" s="1">
        <v>0.4600412341238807</v>
      </c>
      <c r="E41" s="1">
        <v>0.20126486479174122</v>
      </c>
      <c r="F41" s="1">
        <v>0.25703377899029545</v>
      </c>
      <c r="G41" s="1">
        <v>0.25319021657198904</v>
      </c>
      <c r="I41" s="1" t="s">
        <v>17</v>
      </c>
      <c r="J41" s="1">
        <v>0.30315315688585331</v>
      </c>
      <c r="K41" s="1">
        <v>0.64691944129372925</v>
      </c>
      <c r="L41" s="1">
        <v>0.46496029365175601</v>
      </c>
      <c r="M41" s="1">
        <v>0.21025604526128616</v>
      </c>
      <c r="N41" s="1">
        <v>0.25601617900407009</v>
      </c>
      <c r="O41" s="1">
        <v>0.26019523899611524</v>
      </c>
    </row>
    <row r="42" spans="1:15" x14ac:dyDescent="0.3">
      <c r="A42" s="1" t="s">
        <v>18</v>
      </c>
      <c r="B42" s="1">
        <v>0.80538463424600326</v>
      </c>
      <c r="C42" s="1">
        <v>0.60689251095420749</v>
      </c>
      <c r="D42" s="1">
        <v>0.92079355509537875</v>
      </c>
      <c r="E42" s="1">
        <v>0.29314425231046964</v>
      </c>
      <c r="F42" s="1">
        <v>0.30862918742437179</v>
      </c>
      <c r="G42" s="1">
        <v>0.52424461794585742</v>
      </c>
      <c r="I42" s="1" t="s">
        <v>18</v>
      </c>
      <c r="J42" s="1">
        <v>0.79088094081926208</v>
      </c>
      <c r="K42" s="1">
        <v>0.64603990890581908</v>
      </c>
      <c r="L42" s="1">
        <v>0.88251759680816733</v>
      </c>
      <c r="M42" s="1">
        <v>0.31818877226054537</v>
      </c>
      <c r="N42" s="1">
        <v>0.30732308123238311</v>
      </c>
      <c r="O42" s="1">
        <v>0.46832117724469441</v>
      </c>
    </row>
    <row r="43" spans="1:15" x14ac:dyDescent="0.3">
      <c r="A43" s="1" t="s">
        <v>19</v>
      </c>
      <c r="B43" s="1">
        <v>0.40934725663153926</v>
      </c>
      <c r="C43" s="1">
        <v>0.72058013930484277</v>
      </c>
      <c r="D43" s="1">
        <v>1.470547971117214</v>
      </c>
      <c r="E43" s="1">
        <v>0.7763244414413869</v>
      </c>
      <c r="F43" s="1">
        <v>0.66047819847536637</v>
      </c>
      <c r="G43" s="1">
        <v>0.54580431964826859</v>
      </c>
      <c r="I43" s="1" t="s">
        <v>19</v>
      </c>
      <c r="J43" s="1">
        <v>0.40506884784822417</v>
      </c>
      <c r="K43" s="1">
        <v>0.73320832321419838</v>
      </c>
      <c r="L43" s="1">
        <v>1.47470487873381</v>
      </c>
      <c r="M43" s="1">
        <v>0.74171128800724784</v>
      </c>
      <c r="N43" s="1">
        <v>0.67319534824069438</v>
      </c>
      <c r="O43" s="1">
        <v>0.51704545915984457</v>
      </c>
    </row>
    <row r="44" spans="1:15" x14ac:dyDescent="0.3">
      <c r="A44" s="1" t="s">
        <v>20</v>
      </c>
      <c r="B44" s="1">
        <v>2.2615773284407008</v>
      </c>
      <c r="C44" s="1">
        <v>0.66365053478803393</v>
      </c>
      <c r="D44" s="5">
        <v>1.1169745675096501</v>
      </c>
      <c r="E44" s="1">
        <v>1.1500639844310701</v>
      </c>
      <c r="F44" s="1">
        <v>0.47748702967955586</v>
      </c>
      <c r="G44" s="1">
        <v>3.1590337508333337</v>
      </c>
      <c r="I44" s="1" t="s">
        <v>20</v>
      </c>
      <c r="J44" s="1">
        <v>2.2778515025004782</v>
      </c>
      <c r="K44" s="1">
        <v>0.66736552174331265</v>
      </c>
      <c r="L44" s="5">
        <v>1.1104821776074774</v>
      </c>
      <c r="M44" s="1">
        <v>1.1416930165818051</v>
      </c>
      <c r="N44" s="1">
        <v>0.47092463883467067</v>
      </c>
      <c r="O44" s="1">
        <v>3.1590337508333337</v>
      </c>
    </row>
    <row r="46" spans="1:15" x14ac:dyDescent="0.3">
      <c r="A46" s="22" t="s">
        <v>37</v>
      </c>
      <c r="B46" s="22"/>
      <c r="C46" s="22"/>
      <c r="D46" s="22"/>
      <c r="E46" s="22"/>
      <c r="F46" s="22"/>
      <c r="G46" s="22"/>
      <c r="I46" s="22" t="s">
        <v>38</v>
      </c>
      <c r="J46" s="22"/>
      <c r="K46" s="22"/>
      <c r="L46" s="22"/>
      <c r="M46" s="22"/>
      <c r="N46" s="22"/>
      <c r="O46" s="22"/>
    </row>
    <row r="47" spans="1:15" x14ac:dyDescent="0.3">
      <c r="A47" s="1" t="s">
        <v>50</v>
      </c>
      <c r="B47" s="1" t="s">
        <v>51</v>
      </c>
      <c r="C47" s="1" t="s">
        <v>52</v>
      </c>
      <c r="D47" s="1" t="s">
        <v>53</v>
      </c>
      <c r="E47" s="1" t="s">
        <v>54</v>
      </c>
      <c r="F47" s="1" t="s">
        <v>55</v>
      </c>
      <c r="G47" s="1" t="s">
        <v>56</v>
      </c>
      <c r="I47" s="1" t="s">
        <v>50</v>
      </c>
      <c r="J47" s="1" t="s">
        <v>51</v>
      </c>
      <c r="K47" s="1" t="s">
        <v>52</v>
      </c>
      <c r="L47" s="1" t="s">
        <v>53</v>
      </c>
      <c r="M47" s="1" t="s">
        <v>54</v>
      </c>
      <c r="N47" s="1" t="s">
        <v>55</v>
      </c>
      <c r="O47" s="1" t="s">
        <v>56</v>
      </c>
    </row>
    <row r="48" spans="1:15" x14ac:dyDescent="0.3">
      <c r="A48" s="1" t="s">
        <v>5</v>
      </c>
      <c r="B48">
        <f>B29-B10</f>
        <v>-5.357430531383045E-5</v>
      </c>
      <c r="C48">
        <f t="shared" ref="C48:G48" si="2">C29-C10</f>
        <v>5.3577670622528828E-5</v>
      </c>
      <c r="D48">
        <f t="shared" si="2"/>
        <v>8.1368957905780803E-5</v>
      </c>
      <c r="E48">
        <f t="shared" si="2"/>
        <v>-1.1566571915433421E-4</v>
      </c>
      <c r="F48">
        <f t="shared" si="2"/>
        <v>7.4551895483665476E-5</v>
      </c>
      <c r="G48">
        <f t="shared" si="2"/>
        <v>-4.2403215256836546E-6</v>
      </c>
      <c r="I48" s="1" t="s">
        <v>5</v>
      </c>
      <c r="J48">
        <f>J29-J10</f>
        <v>7.6798856320503539E-4</v>
      </c>
      <c r="K48">
        <f t="shared" ref="K48:O48" si="3">K29-K10</f>
        <v>-6.8202881516477021E-4</v>
      </c>
      <c r="L48">
        <f t="shared" si="3"/>
        <v>-1.0588937720202862E-3</v>
      </c>
      <c r="M48">
        <f t="shared" si="3"/>
        <v>1.606623811213348E-3</v>
      </c>
      <c r="N48">
        <f t="shared" si="3"/>
        <v>-9.6608201244596792E-4</v>
      </c>
      <c r="O48">
        <f t="shared" si="3"/>
        <v>9.9112795669542564E-5</v>
      </c>
    </row>
    <row r="49" spans="1:15" x14ac:dyDescent="0.3">
      <c r="A49" s="1" t="s">
        <v>6</v>
      </c>
      <c r="B49">
        <f t="shared" ref="B49:G63" si="4">B30-B11</f>
        <v>-5.4201200165550023E-2</v>
      </c>
      <c r="C49">
        <f t="shared" si="4"/>
        <v>-1.35001125032706E-2</v>
      </c>
      <c r="D49">
        <f t="shared" si="4"/>
        <v>-1.0321181256480738E-3</v>
      </c>
      <c r="E49">
        <f t="shared" si="4"/>
        <v>-1.9182825566761985E-3</v>
      </c>
      <c r="F49">
        <f t="shared" si="4"/>
        <v>-1.8408276173893512E-3</v>
      </c>
      <c r="G49">
        <f t="shared" si="4"/>
        <v>-2.1669693402337487E-5</v>
      </c>
      <c r="I49" s="1" t="s">
        <v>6</v>
      </c>
      <c r="J49">
        <f t="shared" ref="J49:O63" si="5">J30-J11</f>
        <v>-5.5396799070321801E-2</v>
      </c>
      <c r="K49">
        <f t="shared" si="5"/>
        <v>-1.2120478404746213E-2</v>
      </c>
      <c r="L49">
        <f t="shared" si="5"/>
        <v>1.5289023864895057E-3</v>
      </c>
      <c r="M49">
        <f t="shared" si="5"/>
        <v>-2.3328029231386715E-3</v>
      </c>
      <c r="N49">
        <f t="shared" si="5"/>
        <v>-1.7929496105926757E-3</v>
      </c>
      <c r="O49">
        <f t="shared" si="5"/>
        <v>6.2966336451419913E-5</v>
      </c>
    </row>
    <row r="50" spans="1:15" x14ac:dyDescent="0.3">
      <c r="A50" s="1" t="s">
        <v>7</v>
      </c>
      <c r="B50">
        <f t="shared" si="4"/>
        <v>-3.7588753890889226E-3</v>
      </c>
      <c r="C50">
        <f t="shared" si="4"/>
        <v>-1.2024261633164945E-2</v>
      </c>
      <c r="D50">
        <f t="shared" si="4"/>
        <v>9.5690378242310192E-3</v>
      </c>
      <c r="E50">
        <f t="shared" si="4"/>
        <v>1.7834800765889947E-2</v>
      </c>
      <c r="F50">
        <f t="shared" si="4"/>
        <v>-8.1290959802515772E-3</v>
      </c>
      <c r="G50">
        <f t="shared" si="4"/>
        <v>3.9600952342338847E-2</v>
      </c>
      <c r="I50" s="1" t="s">
        <v>7</v>
      </c>
      <c r="J50">
        <f t="shared" si="5"/>
        <v>-0.1187876599708465</v>
      </c>
      <c r="K50">
        <f t="shared" si="5"/>
        <v>-0.1143577932480162</v>
      </c>
      <c r="L50">
        <f t="shared" si="5"/>
        <v>8.5252122568993727E-2</v>
      </c>
      <c r="M50">
        <f t="shared" si="5"/>
        <v>0.15350489683044621</v>
      </c>
      <c r="N50">
        <f t="shared" si="5"/>
        <v>0.48765943097331999</v>
      </c>
      <c r="O50">
        <f t="shared" si="5"/>
        <v>1.9839907731252104E-2</v>
      </c>
    </row>
    <row r="51" spans="1:15" x14ac:dyDescent="0.3">
      <c r="A51" s="1" t="s">
        <v>8</v>
      </c>
      <c r="B51">
        <f t="shared" si="4"/>
        <v>1.8899312346950525E-3</v>
      </c>
      <c r="C51">
        <f t="shared" si="4"/>
        <v>-1.3691459066919598E-4</v>
      </c>
      <c r="D51">
        <f t="shared" si="4"/>
        <v>-7.9050383546031E-4</v>
      </c>
      <c r="E51">
        <f t="shared" si="4"/>
        <v>1.0645646083728977E-4</v>
      </c>
      <c r="F51">
        <f t="shared" si="4"/>
        <v>1.5504888823829055E-3</v>
      </c>
      <c r="G51">
        <f t="shared" si="4"/>
        <v>-1.94826777864332E-3</v>
      </c>
      <c r="I51" s="1" t="s">
        <v>8</v>
      </c>
      <c r="J51">
        <f t="shared" si="5"/>
        <v>2.8450032241963408E-3</v>
      </c>
      <c r="K51">
        <f t="shared" si="5"/>
        <v>-6.021716877082639E-4</v>
      </c>
      <c r="L51">
        <f t="shared" si="5"/>
        <v>-2.0200398084282423E-3</v>
      </c>
      <c r="M51">
        <f t="shared" si="5"/>
        <v>-1.3587145061982886E-4</v>
      </c>
      <c r="N51">
        <f t="shared" si="5"/>
        <v>2.9819860848360191E-3</v>
      </c>
      <c r="O51">
        <f t="shared" si="5"/>
        <v>-1.8235945593985114E-3</v>
      </c>
    </row>
    <row r="52" spans="1:15" x14ac:dyDescent="0.3">
      <c r="A52" s="1" t="s">
        <v>9</v>
      </c>
      <c r="B52">
        <f t="shared" si="4"/>
        <v>-4.9110625347303927E-4</v>
      </c>
      <c r="C52">
        <f t="shared" si="4"/>
        <v>3.37028003444928E-4</v>
      </c>
      <c r="D52">
        <f t="shared" si="4"/>
        <v>-8.4745900996308077E-4</v>
      </c>
      <c r="E52">
        <f t="shared" si="4"/>
        <v>-1.525716613089978E-4</v>
      </c>
      <c r="F52">
        <f t="shared" si="4"/>
        <v>9.8613166146477305E-4</v>
      </c>
      <c r="G52">
        <f t="shared" si="4"/>
        <v>4.7607334876815788E-3</v>
      </c>
      <c r="I52" s="1" t="s">
        <v>9</v>
      </c>
      <c r="J52">
        <f t="shared" si="5"/>
        <v>-6.4350905156664306E-3</v>
      </c>
      <c r="K52">
        <f t="shared" si="5"/>
        <v>7.8097402831360796E-3</v>
      </c>
      <c r="L52">
        <f t="shared" si="5"/>
        <v>3.8430882707720659E-3</v>
      </c>
      <c r="M52">
        <f t="shared" si="5"/>
        <v>-2.2837965645975955E-3</v>
      </c>
      <c r="N52">
        <f t="shared" si="5"/>
        <v>-3.7561720702905532E-5</v>
      </c>
      <c r="O52">
        <f t="shared" si="5"/>
        <v>-5.5639089010943721E-3</v>
      </c>
    </row>
    <row r="53" spans="1:15" x14ac:dyDescent="0.3">
      <c r="A53" s="1" t="s">
        <v>10</v>
      </c>
      <c r="B53">
        <f t="shared" si="4"/>
        <v>-6.0387239075307853E-2</v>
      </c>
      <c r="C53">
        <f t="shared" si="4"/>
        <v>-0.11021570666666666</v>
      </c>
      <c r="D53">
        <f t="shared" si="4"/>
        <v>-5.0790476777506921E-4</v>
      </c>
      <c r="E53">
        <f t="shared" si="4"/>
        <v>-2.453055762584877E-2</v>
      </c>
      <c r="F53">
        <f t="shared" si="4"/>
        <v>2.5160414340413828E-3</v>
      </c>
      <c r="G53">
        <f t="shared" si="4"/>
        <v>-0.78617424617226084</v>
      </c>
      <c r="I53" s="1" t="s">
        <v>10</v>
      </c>
      <c r="J53">
        <f t="shared" si="5"/>
        <v>-7.0316192845210512E-2</v>
      </c>
      <c r="K53">
        <f t="shared" si="5"/>
        <v>-0.11021570666666666</v>
      </c>
      <c r="L53">
        <f t="shared" si="5"/>
        <v>-7.0918397405596023E-3</v>
      </c>
      <c r="M53">
        <f t="shared" si="5"/>
        <v>-4.62749394280495E-2</v>
      </c>
      <c r="N53">
        <f t="shared" si="5"/>
        <v>-1.3336366657177301E-3</v>
      </c>
      <c r="O53">
        <f t="shared" si="5"/>
        <v>-0.7811307519970655</v>
      </c>
    </row>
    <row r="54" spans="1:15" x14ac:dyDescent="0.3">
      <c r="A54" s="1" t="s">
        <v>11</v>
      </c>
      <c r="B54">
        <f t="shared" si="4"/>
        <v>2.2175219868797447E-3</v>
      </c>
      <c r="C54">
        <f t="shared" si="4"/>
        <v>1.9091633819672271E-3</v>
      </c>
      <c r="D54">
        <f t="shared" si="4"/>
        <v>2.8036798510577832E-4</v>
      </c>
      <c r="E54">
        <f t="shared" si="4"/>
        <v>-2.2349699872693529E-3</v>
      </c>
      <c r="F54">
        <f t="shared" si="4"/>
        <v>1.0960168806395387E-4</v>
      </c>
      <c r="G54">
        <f t="shared" si="4"/>
        <v>7.6012678898546016E-4</v>
      </c>
      <c r="I54" s="1" t="s">
        <v>11</v>
      </c>
      <c r="J54">
        <f t="shared" si="5"/>
        <v>1.0931744269610855E-2</v>
      </c>
      <c r="K54">
        <f t="shared" si="5"/>
        <v>6.6827249080558815E-3</v>
      </c>
      <c r="L54">
        <f t="shared" si="5"/>
        <v>2.7887766729790542E-3</v>
      </c>
      <c r="M54">
        <f t="shared" si="5"/>
        <v>-1.1060816861784617E-2</v>
      </c>
      <c r="N54">
        <f t="shared" si="5"/>
        <v>9.833273932299269E-4</v>
      </c>
      <c r="O54">
        <f t="shared" si="5"/>
        <v>4.7683702664896854E-3</v>
      </c>
    </row>
    <row r="55" spans="1:15" x14ac:dyDescent="0.3">
      <c r="A55" s="1" t="s">
        <v>12</v>
      </c>
      <c r="B55">
        <f t="shared" si="4"/>
        <v>4.0301456360158916E-4</v>
      </c>
      <c r="C55">
        <f t="shared" si="4"/>
        <v>-7.769879695876114E-4</v>
      </c>
      <c r="D55">
        <f t="shared" si="4"/>
        <v>0</v>
      </c>
      <c r="E55">
        <f t="shared" si="4"/>
        <v>-7.2250360245129652E-4</v>
      </c>
      <c r="F55">
        <f t="shared" si="4"/>
        <v>1.7791271067585379E-4</v>
      </c>
      <c r="G55">
        <f t="shared" si="4"/>
        <v>-2.1338513882418475E-4</v>
      </c>
      <c r="I55" s="1" t="s">
        <v>12</v>
      </c>
      <c r="J55">
        <f t="shared" si="5"/>
        <v>-1.3535429288822898E-3</v>
      </c>
      <c r="K55">
        <f t="shared" si="5"/>
        <v>-1.4831791719516485E-3</v>
      </c>
      <c r="L55">
        <f t="shared" si="5"/>
        <v>0</v>
      </c>
      <c r="M55">
        <f t="shared" si="5"/>
        <v>1.616841760274379E-4</v>
      </c>
      <c r="N55">
        <f t="shared" si="5"/>
        <v>1.9798422213309075E-3</v>
      </c>
      <c r="O55">
        <f t="shared" si="5"/>
        <v>1.9042051127090565E-3</v>
      </c>
    </row>
    <row r="56" spans="1:15" x14ac:dyDescent="0.3">
      <c r="A56" s="1" t="s">
        <v>13</v>
      </c>
      <c r="B56">
        <f t="shared" si="4"/>
        <v>-2.3364022016871822E-3</v>
      </c>
      <c r="C56">
        <f t="shared" si="4"/>
        <v>5.6371337185601167E-3</v>
      </c>
      <c r="D56">
        <f t="shared" si="4"/>
        <v>7.1612677903742927E-4</v>
      </c>
      <c r="E56">
        <f t="shared" si="4"/>
        <v>0</v>
      </c>
      <c r="F56">
        <f t="shared" si="4"/>
        <v>-6.1722665531787069E-3</v>
      </c>
      <c r="G56">
        <f t="shared" si="4"/>
        <v>-7.6077244914155573E-3</v>
      </c>
      <c r="I56" s="1" t="s">
        <v>13</v>
      </c>
      <c r="J56">
        <f t="shared" si="5"/>
        <v>-1.899728367605702E-2</v>
      </c>
      <c r="K56">
        <f t="shared" si="5"/>
        <v>-7.6855523531738079E-4</v>
      </c>
      <c r="L56">
        <f t="shared" si="5"/>
        <v>3.0419140485935525E-2</v>
      </c>
      <c r="M56">
        <f t="shared" si="5"/>
        <v>0</v>
      </c>
      <c r="N56">
        <f t="shared" si="5"/>
        <v>4.6872857414652636E-3</v>
      </c>
      <c r="O56">
        <f t="shared" si="5"/>
        <v>1.1372857561122163E-2</v>
      </c>
    </row>
    <row r="57" spans="1:15" x14ac:dyDescent="0.3">
      <c r="A57" s="1" t="s">
        <v>14</v>
      </c>
      <c r="B57">
        <f t="shared" si="4"/>
        <v>1.0945052124865517E-3</v>
      </c>
      <c r="C57">
        <f t="shared" si="4"/>
        <v>-7.1223092509598018E-4</v>
      </c>
      <c r="D57">
        <f t="shared" si="4"/>
        <v>1.4001424711828081E-3</v>
      </c>
      <c r="E57">
        <f t="shared" si="4"/>
        <v>8.5745992616241828E-3</v>
      </c>
      <c r="F57">
        <f t="shared" si="4"/>
        <v>0</v>
      </c>
      <c r="G57">
        <f t="shared" si="4"/>
        <v>-1.7909545811446437E-3</v>
      </c>
      <c r="I57" s="1" t="s">
        <v>14</v>
      </c>
      <c r="J57">
        <f t="shared" si="5"/>
        <v>3.9177097541233108E-3</v>
      </c>
      <c r="K57">
        <f t="shared" si="5"/>
        <v>-8.3223322350252094E-3</v>
      </c>
      <c r="L57">
        <f t="shared" si="5"/>
        <v>-1.1725011714405764E-3</v>
      </c>
      <c r="M57">
        <f t="shared" si="5"/>
        <v>1.1152858477518457E-2</v>
      </c>
      <c r="N57">
        <f t="shared" si="5"/>
        <v>0</v>
      </c>
      <c r="O57">
        <f t="shared" si="5"/>
        <v>2.447299781737855E-3</v>
      </c>
    </row>
    <row r="58" spans="1:15" x14ac:dyDescent="0.3">
      <c r="A58" s="1" t="s">
        <v>15</v>
      </c>
      <c r="B58">
        <f t="shared" si="4"/>
        <v>-5.5757041146620168E-4</v>
      </c>
      <c r="C58">
        <f t="shared" si="4"/>
        <v>1.0323236038000116E-3</v>
      </c>
      <c r="D58">
        <f t="shared" si="4"/>
        <v>2.2551758429075752E-3</v>
      </c>
      <c r="E58">
        <f t="shared" si="4"/>
        <v>1.7040279783390733E-3</v>
      </c>
      <c r="F58">
        <f t="shared" si="4"/>
        <v>1.0186265555404361E-2</v>
      </c>
      <c r="G58">
        <f t="shared" si="4"/>
        <v>4.1588927881636151E-4</v>
      </c>
      <c r="I58" s="1" t="s">
        <v>15</v>
      </c>
      <c r="J58">
        <f t="shared" si="5"/>
        <v>-5.8668999838220603E-3</v>
      </c>
      <c r="K58">
        <f t="shared" si="5"/>
        <v>-2.9339029208387324E-2</v>
      </c>
      <c r="L58">
        <f t="shared" si="5"/>
        <v>8.875559471997474E-3</v>
      </c>
      <c r="M58">
        <f t="shared" si="5"/>
        <v>5.6903233270386988E-3</v>
      </c>
      <c r="N58">
        <f t="shared" si="5"/>
        <v>-7.0364080910033266E-2</v>
      </c>
      <c r="O58">
        <f t="shared" si="5"/>
        <v>-1.5713345446459748E-3</v>
      </c>
    </row>
    <row r="59" spans="1:15" x14ac:dyDescent="0.3">
      <c r="A59" s="1" t="s">
        <v>16</v>
      </c>
      <c r="B59">
        <f t="shared" si="4"/>
        <v>-5.7914873203590567E-4</v>
      </c>
      <c r="C59">
        <f t="shared" si="4"/>
        <v>2.1668206581061389E-3</v>
      </c>
      <c r="D59">
        <f t="shared" si="4"/>
        <v>2.304698200306099E-3</v>
      </c>
      <c r="E59">
        <f t="shared" si="4"/>
        <v>-1.7771952729958573E-3</v>
      </c>
      <c r="F59">
        <f t="shared" si="4"/>
        <v>-6.5895407829374975E-4</v>
      </c>
      <c r="G59">
        <f t="shared" si="4"/>
        <v>-3.5741334388374457E-3</v>
      </c>
      <c r="I59" s="1" t="s">
        <v>16</v>
      </c>
      <c r="J59">
        <f t="shared" si="5"/>
        <v>1.520211118021253E-4</v>
      </c>
      <c r="K59">
        <f t="shared" si="5"/>
        <v>4.7949790036705409E-4</v>
      </c>
      <c r="L59">
        <f t="shared" si="5"/>
        <v>5.9522657178350258E-3</v>
      </c>
      <c r="M59">
        <f t="shared" si="5"/>
        <v>-3.4876274729163936E-3</v>
      </c>
      <c r="N59">
        <f t="shared" si="5"/>
        <v>2.2661977210174378E-3</v>
      </c>
      <c r="O59">
        <f t="shared" si="5"/>
        <v>-3.1380603513031513E-4</v>
      </c>
    </row>
    <row r="60" spans="1:15" x14ac:dyDescent="0.3">
      <c r="A60" s="1" t="s">
        <v>17</v>
      </c>
      <c r="B60">
        <f t="shared" si="4"/>
        <v>5.0483255142930727E-3</v>
      </c>
      <c r="C60">
        <f t="shared" si="4"/>
        <v>-9.9728592861243137E-2</v>
      </c>
      <c r="D60">
        <f t="shared" si="4"/>
        <v>6.9552017737637972E-3</v>
      </c>
      <c r="E60">
        <f t="shared" si="4"/>
        <v>-1.5902521044331874E-2</v>
      </c>
      <c r="F60">
        <f t="shared" si="4"/>
        <v>-6.7859079149962254E-4</v>
      </c>
      <c r="G60">
        <f t="shared" si="4"/>
        <v>-1.4853367719969146E-4</v>
      </c>
      <c r="I60" s="1" t="s">
        <v>17</v>
      </c>
      <c r="J60">
        <f t="shared" si="5"/>
        <v>9.4001067173667963E-3</v>
      </c>
      <c r="K60">
        <f t="shared" si="5"/>
        <v>-0.10239329099464234</v>
      </c>
      <c r="L60">
        <f t="shared" si="5"/>
        <v>1.1853139519659495E-2</v>
      </c>
      <c r="M60">
        <f t="shared" si="5"/>
        <v>-2.0968134232962926E-2</v>
      </c>
      <c r="N60">
        <f t="shared" si="5"/>
        <v>2.2787351752979745E-3</v>
      </c>
      <c r="O60">
        <f t="shared" si="5"/>
        <v>1.3161918520645521E-3</v>
      </c>
    </row>
    <row r="61" spans="1:15" x14ac:dyDescent="0.3">
      <c r="A61" s="1" t="s">
        <v>18</v>
      </c>
      <c r="B61">
        <f t="shared" si="4"/>
        <v>-2.2693880484392359E-4</v>
      </c>
      <c r="C61">
        <f t="shared" si="4"/>
        <v>-1.0956456528664615E-3</v>
      </c>
      <c r="D61">
        <f t="shared" si="4"/>
        <v>8.1293526223266133E-3</v>
      </c>
      <c r="E61">
        <f t="shared" si="4"/>
        <v>-3.4062776063813471E-3</v>
      </c>
      <c r="F61">
        <f t="shared" si="4"/>
        <v>5.2940374461907247E-5</v>
      </c>
      <c r="G61">
        <f t="shared" si="4"/>
        <v>3.8968728361101768E-3</v>
      </c>
      <c r="I61" s="1" t="s">
        <v>18</v>
      </c>
      <c r="J61">
        <f t="shared" si="5"/>
        <v>-1.7342191098234094E-3</v>
      </c>
      <c r="K61">
        <f t="shared" si="5"/>
        <v>2.3430844249948679E-3</v>
      </c>
      <c r="L61">
        <f t="shared" si="5"/>
        <v>2.2775057829259593E-3</v>
      </c>
      <c r="M61">
        <f t="shared" si="5"/>
        <v>-1.94330842370527E-4</v>
      </c>
      <c r="N61">
        <f t="shared" si="5"/>
        <v>-4.0385884803693095E-3</v>
      </c>
      <c r="O61">
        <f t="shared" si="5"/>
        <v>-1.3922167150277609E-3</v>
      </c>
    </row>
    <row r="62" spans="1:15" x14ac:dyDescent="0.3">
      <c r="A62" s="1" t="s">
        <v>19</v>
      </c>
      <c r="B62">
        <f t="shared" si="4"/>
        <v>-5.575647979532028E-3</v>
      </c>
      <c r="C62">
        <f t="shared" si="4"/>
        <v>-1.1190419071518853E-2</v>
      </c>
      <c r="D62">
        <f t="shared" si="4"/>
        <v>-0.21712254176472334</v>
      </c>
      <c r="E62">
        <f t="shared" si="4"/>
        <v>-2.0755931908168712E-2</v>
      </c>
      <c r="F62">
        <f t="shared" si="4"/>
        <v>9.6234229981839725E-5</v>
      </c>
      <c r="G62">
        <f t="shared" si="4"/>
        <v>-1.0688665631857885E-2</v>
      </c>
      <c r="I62" s="1" t="s">
        <v>19</v>
      </c>
      <c r="J62">
        <f>J43-J24</f>
        <v>-5.219696829205589E-3</v>
      </c>
      <c r="K62">
        <f t="shared" ref="K62:O62" si="6">K43-K24</f>
        <v>-5.7383171683632606E-3</v>
      </c>
      <c r="L62">
        <f t="shared" si="6"/>
        <v>-0.22885331978241918</v>
      </c>
      <c r="M62">
        <f t="shared" si="6"/>
        <v>-2.1406705561098804E-2</v>
      </c>
      <c r="N62">
        <f t="shared" si="6"/>
        <v>5.9297939836455704E-3</v>
      </c>
      <c r="O62">
        <f t="shared" si="6"/>
        <v>-1.1670334706663232E-2</v>
      </c>
    </row>
    <row r="63" spans="1:15" x14ac:dyDescent="0.3">
      <c r="A63" s="1" t="s">
        <v>20</v>
      </c>
      <c r="B63">
        <f t="shared" si="4"/>
        <v>-8.7219719012084695E-2</v>
      </c>
      <c r="C63">
        <f t="shared" si="4"/>
        <v>-2.092562484489946E-2</v>
      </c>
      <c r="D63" s="6">
        <f t="shared" si="4"/>
        <v>-1.5287381754301317</v>
      </c>
      <c r="E63">
        <f t="shared" si="4"/>
        <v>2.0827179934344908E-2</v>
      </c>
      <c r="F63">
        <f t="shared" si="4"/>
        <v>3.3109289509155371E-2</v>
      </c>
      <c r="G63">
        <f t="shared" si="4"/>
        <v>-0.78180864249999971</v>
      </c>
      <c r="I63" s="1" t="s">
        <v>20</v>
      </c>
      <c r="J63">
        <f t="shared" si="5"/>
        <v>-8.9258220982052716E-2</v>
      </c>
      <c r="K63">
        <f t="shared" si="5"/>
        <v>-2.190765792551419E-2</v>
      </c>
      <c r="L63" s="6">
        <f t="shared" si="5"/>
        <v>-1.5255380775825507</v>
      </c>
      <c r="M63">
        <f t="shared" si="5"/>
        <v>2.106536241730339E-2</v>
      </c>
      <c r="N63">
        <f t="shared" si="5"/>
        <v>3.288201653114553E-2</v>
      </c>
      <c r="O63">
        <f>O44-O25</f>
        <v>-0.78180864249999971</v>
      </c>
    </row>
    <row r="65" spans="1:17" x14ac:dyDescent="0.3">
      <c r="A65" s="22" t="s">
        <v>27</v>
      </c>
      <c r="B65" s="22"/>
      <c r="C65" s="22"/>
      <c r="D65" s="22"/>
      <c r="E65" s="22"/>
      <c r="F65" s="22"/>
      <c r="G65" s="22"/>
      <c r="I65" s="22" t="s">
        <v>27</v>
      </c>
      <c r="J65" s="22"/>
      <c r="K65" s="22"/>
      <c r="L65" s="22"/>
      <c r="M65" s="22"/>
      <c r="N65" s="22"/>
      <c r="O65" s="22"/>
    </row>
    <row r="66" spans="1:17" x14ac:dyDescent="0.3">
      <c r="A66" s="1" t="s">
        <v>39</v>
      </c>
      <c r="B66" t="s">
        <v>61</v>
      </c>
      <c r="C66" t="s">
        <v>40</v>
      </c>
      <c r="D66" t="s">
        <v>43</v>
      </c>
      <c r="E66" t="s">
        <v>44</v>
      </c>
      <c r="F66" t="s">
        <v>41</v>
      </c>
      <c r="G66" t="s">
        <v>42</v>
      </c>
      <c r="I66" s="1" t="s">
        <v>39</v>
      </c>
      <c r="J66" t="s">
        <v>61</v>
      </c>
      <c r="K66" t="s">
        <v>40</v>
      </c>
      <c r="L66" t="s">
        <v>43</v>
      </c>
      <c r="M66" t="s">
        <v>44</v>
      </c>
      <c r="N66" t="s">
        <v>41</v>
      </c>
      <c r="O66" t="s">
        <v>42</v>
      </c>
    </row>
    <row r="67" spans="1:17" x14ac:dyDescent="0.3">
      <c r="A67">
        <f>AVERAGE(B48:G63)</f>
        <v>-3.8717576899292415E-2</v>
      </c>
      <c r="B67">
        <f>STDEV(B48:G63)</f>
        <v>0.19228132695090849</v>
      </c>
      <c r="C67">
        <f>MEDIAN(B48:G63)</f>
        <v>-1.4272413393444372E-4</v>
      </c>
      <c r="D67">
        <f>MIN(B48:G63)</f>
        <v>-1.5287381754301317</v>
      </c>
      <c r="E67">
        <f>MAX(B48:G63)</f>
        <v>3.9600952342338847E-2</v>
      </c>
      <c r="F67">
        <f>G48</f>
        <v>-4.2403215256836546E-6</v>
      </c>
      <c r="G67" cm="1">
        <f t="array" ref="G67">MAX(ABS(B48:G63))</f>
        <v>1.5287381754301317</v>
      </c>
      <c r="I67">
        <f>AVERAGE(J48:O63)</f>
        <v>-3.4835645155108931E-2</v>
      </c>
      <c r="J67">
        <f>STDEV(J48:O63)</f>
        <v>0.20087450481461985</v>
      </c>
      <c r="K67">
        <f>MEDIAN(J48:O63)</f>
        <v>-2.5406843875042107E-4</v>
      </c>
      <c r="L67">
        <f>MIN(J48:O63)</f>
        <v>-1.5255380775825507</v>
      </c>
      <c r="M67">
        <f>MAX(J48:O63)</f>
        <v>0.48765943097331999</v>
      </c>
      <c r="N67">
        <f>O49</f>
        <v>6.2966336451419913E-5</v>
      </c>
      <c r="O67" cm="1">
        <f t="array" ref="O67">MAX(ABS(J48:O63))</f>
        <v>1.5255380775825507</v>
      </c>
    </row>
    <row r="69" spans="1:17" x14ac:dyDescent="0.3">
      <c r="A69" s="22" t="s">
        <v>67</v>
      </c>
      <c r="B69" s="22"/>
      <c r="C69" s="22"/>
      <c r="D69" s="22"/>
      <c r="E69" s="22"/>
      <c r="F69" s="22"/>
      <c r="G69" s="22"/>
      <c r="H69" s="7"/>
      <c r="I69" s="22" t="s">
        <v>69</v>
      </c>
      <c r="J69" s="22"/>
      <c r="K69" s="22"/>
      <c r="L69" s="22"/>
      <c r="M69" s="22"/>
      <c r="N69" s="22"/>
      <c r="O69" s="22"/>
      <c r="P69" s="7"/>
      <c r="Q69" s="7"/>
    </row>
    <row r="70" spans="1:17" x14ac:dyDescent="0.3">
      <c r="A70" s="1" t="s">
        <v>50</v>
      </c>
      <c r="B70" s="1" t="s">
        <v>51</v>
      </c>
      <c r="C70" s="1" t="s">
        <v>52</v>
      </c>
      <c r="D70" s="1" t="s">
        <v>53</v>
      </c>
      <c r="E70" s="1" t="s">
        <v>54</v>
      </c>
      <c r="F70" s="1" t="s">
        <v>55</v>
      </c>
      <c r="G70" s="1" t="s">
        <v>56</v>
      </c>
      <c r="I70" s="1" t="s">
        <v>50</v>
      </c>
      <c r="J70" s="1" t="s">
        <v>51</v>
      </c>
      <c r="K70" s="1" t="s">
        <v>52</v>
      </c>
      <c r="L70" s="1" t="s">
        <v>53</v>
      </c>
      <c r="M70" s="1" t="s">
        <v>54</v>
      </c>
      <c r="N70" s="1" t="s">
        <v>55</v>
      </c>
      <c r="O70" s="1" t="s">
        <v>56</v>
      </c>
    </row>
    <row r="71" spans="1:17" x14ac:dyDescent="0.3">
      <c r="A71" s="1" t="s">
        <v>5</v>
      </c>
      <c r="B71">
        <f>J29-B29</f>
        <v>6.3684581220910808E-3</v>
      </c>
      <c r="C71">
        <f t="shared" ref="C71:F71" si="7">K29-C29</f>
        <v>-5.9810177618859761E-3</v>
      </c>
      <c r="D71">
        <f t="shared" si="7"/>
        <v>-9.1875466195261435E-3</v>
      </c>
      <c r="E71">
        <f t="shared" si="7"/>
        <v>1.3517542971305252E-2</v>
      </c>
      <c r="F71">
        <f t="shared" si="7"/>
        <v>-8.4026022886189988E-3</v>
      </c>
      <c r="G71">
        <f>O29-G29</f>
        <v>6.772607446252632E-4</v>
      </c>
      <c r="I71" s="1" t="s">
        <v>5</v>
      </c>
      <c r="J71">
        <f>J10-B10</f>
        <v>5.5468952535722149E-3</v>
      </c>
      <c r="K71">
        <f t="shared" ref="K71:O71" si="8">K10-C10</f>
        <v>-5.2454112760986771E-3</v>
      </c>
      <c r="L71">
        <f t="shared" si="8"/>
        <v>-8.0472838896000765E-3</v>
      </c>
      <c r="M71">
        <f t="shared" si="8"/>
        <v>1.179525344093757E-2</v>
      </c>
      <c r="N71">
        <f t="shared" si="8"/>
        <v>-7.3619683806893654E-3</v>
      </c>
      <c r="O71">
        <f t="shared" si="8"/>
        <v>5.7390762743003698E-4</v>
      </c>
    </row>
    <row r="72" spans="1:17" x14ac:dyDescent="0.3">
      <c r="A72" s="1" t="s">
        <v>6</v>
      </c>
      <c r="B72">
        <f t="shared" ref="B72:B86" si="9">J30-B30</f>
        <v>1.2649215441822292E-3</v>
      </c>
      <c r="C72">
        <f t="shared" ref="C72:C86" si="10">K30-C30</f>
        <v>1.2823560069977896E-3</v>
      </c>
      <c r="D72">
        <f t="shared" ref="D72:D86" si="11">L30-D30</f>
        <v>1.0406360689247052E-2</v>
      </c>
      <c r="E72">
        <f t="shared" ref="E72:E86" si="12">M30-E30</f>
        <v>-4.9412488738000138E-3</v>
      </c>
      <c r="F72">
        <f t="shared" ref="F72:G86" si="13">N30-F30</f>
        <v>-2.6137899972306644E-3</v>
      </c>
      <c r="G72">
        <f t="shared" si="13"/>
        <v>1.8512276517679283E-4</v>
      </c>
      <c r="I72" s="1" t="s">
        <v>6</v>
      </c>
      <c r="J72">
        <f t="shared" ref="J72:J86" si="14">J11-B11</f>
        <v>2.4605204489540067E-3</v>
      </c>
      <c r="K72">
        <f t="shared" ref="K72:K86" si="15">K11-C11</f>
        <v>-9.7278091526598054E-5</v>
      </c>
      <c r="L72">
        <f t="shared" ref="L72:L86" si="16">L11-D11</f>
        <v>7.8453401771094722E-3</v>
      </c>
      <c r="M72">
        <f t="shared" ref="M72:M86" si="17">M11-E11</f>
        <v>-4.5267285073375407E-3</v>
      </c>
      <c r="N72">
        <f t="shared" ref="N72:N86" si="18">N11-F11</f>
        <v>-2.6616680040273399E-3</v>
      </c>
      <c r="O72">
        <f t="shared" ref="O72:O86" si="19">O11-G11</f>
        <v>1.0048673532303543E-4</v>
      </c>
    </row>
    <row r="73" spans="1:17" x14ac:dyDescent="0.3">
      <c r="A73" s="1" t="s">
        <v>7</v>
      </c>
      <c r="B73">
        <f t="shared" si="9"/>
        <v>-7.1470508136632138E-2</v>
      </c>
      <c r="C73">
        <f t="shared" si="10"/>
        <v>-6.9619207193413857E-2</v>
      </c>
      <c r="D73">
        <f t="shared" si="11"/>
        <v>4.3581078573320164E-2</v>
      </c>
      <c r="E73">
        <f t="shared" si="12"/>
        <v>7.4129969480673408E-2</v>
      </c>
      <c r="F73" s="6">
        <f t="shared" si="13"/>
        <v>0.37858749343673814</v>
      </c>
      <c r="G73">
        <f t="shared" ref="G73:G86" si="20">O31-G31</f>
        <v>-3.0757352810946492E-2</v>
      </c>
      <c r="I73" s="1" t="s">
        <v>7</v>
      </c>
      <c r="J73">
        <f t="shared" si="14"/>
        <v>4.3558276445125443E-2</v>
      </c>
      <c r="K73">
        <f t="shared" si="15"/>
        <v>3.2714324421437402E-2</v>
      </c>
      <c r="L73">
        <f t="shared" si="16"/>
        <v>-3.2102006171442543E-2</v>
      </c>
      <c r="M73">
        <f t="shared" si="17"/>
        <v>-6.1540126583882859E-2</v>
      </c>
      <c r="N73">
        <f t="shared" si="18"/>
        <v>-0.11720103351683342</v>
      </c>
      <c r="O73">
        <f t="shared" si="19"/>
        <v>-1.099630819985975E-2</v>
      </c>
    </row>
    <row r="74" spans="1:17" x14ac:dyDescent="0.3">
      <c r="A74" s="1" t="s">
        <v>8</v>
      </c>
      <c r="B74">
        <f t="shared" si="9"/>
        <v>8.4977105537489273E-3</v>
      </c>
      <c r="C74">
        <f t="shared" si="10"/>
        <v>5.5639182959694444E-3</v>
      </c>
      <c r="D74">
        <f t="shared" si="11"/>
        <v>-2.1935757928284172E-2</v>
      </c>
      <c r="E74">
        <f t="shared" si="12"/>
        <v>-6.2503133110974884E-3</v>
      </c>
      <c r="F74">
        <f t="shared" si="13"/>
        <v>-3.0217111790740603E-2</v>
      </c>
      <c r="G74">
        <f t="shared" si="20"/>
        <v>-6.9671455484053291E-3</v>
      </c>
      <c r="I74" s="1" t="s">
        <v>8</v>
      </c>
      <c r="J74">
        <f t="shared" si="14"/>
        <v>7.542638564247639E-3</v>
      </c>
      <c r="K74">
        <f t="shared" si="15"/>
        <v>6.0291753930085124E-3</v>
      </c>
      <c r="L74">
        <f t="shared" si="16"/>
        <v>-2.070622195531624E-2</v>
      </c>
      <c r="M74">
        <f t="shared" si="17"/>
        <v>-6.0079853996403698E-3</v>
      </c>
      <c r="N74">
        <f t="shared" si="18"/>
        <v>-3.1648608993193716E-2</v>
      </c>
      <c r="O74">
        <f t="shared" si="19"/>
        <v>-7.0918187676501376E-3</v>
      </c>
    </row>
    <row r="75" spans="1:17" x14ac:dyDescent="0.3">
      <c r="A75" s="1" t="s">
        <v>9</v>
      </c>
      <c r="B75">
        <f t="shared" si="9"/>
        <v>-2.2523448584933992E-2</v>
      </c>
      <c r="C75">
        <f t="shared" si="10"/>
        <v>-5.1503065748687016E-3</v>
      </c>
      <c r="D75">
        <f t="shared" si="11"/>
        <v>5.9822926387509745E-2</v>
      </c>
      <c r="E75">
        <f t="shared" si="12"/>
        <v>-3.4258828933387053E-2</v>
      </c>
      <c r="F75">
        <f t="shared" si="13"/>
        <v>-2.3600387446180981E-3</v>
      </c>
      <c r="G75">
        <f t="shared" si="20"/>
        <v>-8.6473039679597852E-2</v>
      </c>
      <c r="I75" s="1" t="s">
        <v>9</v>
      </c>
      <c r="J75">
        <f t="shared" si="14"/>
        <v>-1.65794643227406E-2</v>
      </c>
      <c r="K75">
        <f t="shared" si="15"/>
        <v>-1.2623018854559853E-2</v>
      </c>
      <c r="L75">
        <f t="shared" si="16"/>
        <v>5.5132379106774598E-2</v>
      </c>
      <c r="M75">
        <f t="shared" si="17"/>
        <v>-3.2127604030098456E-2</v>
      </c>
      <c r="N75">
        <f t="shared" si="18"/>
        <v>-1.3363453624504196E-3</v>
      </c>
      <c r="O75">
        <f t="shared" si="19"/>
        <v>-7.6148397290821901E-2</v>
      </c>
    </row>
    <row r="76" spans="1:17" x14ac:dyDescent="0.3">
      <c r="A76" s="1" t="s">
        <v>10</v>
      </c>
      <c r="B76">
        <f t="shared" si="9"/>
        <v>9.2196175654271073E-3</v>
      </c>
      <c r="C76">
        <f t="shared" si="10"/>
        <v>0</v>
      </c>
      <c r="D76">
        <f t="shared" si="11"/>
        <v>-2.0008110131468637E-2</v>
      </c>
      <c r="E76">
        <f t="shared" si="12"/>
        <v>-3.7058575456845322E-3</v>
      </c>
      <c r="F76">
        <f t="shared" si="13"/>
        <v>7.3249151658122402E-3</v>
      </c>
      <c r="G76">
        <f t="shared" si="20"/>
        <v>1.1680371264315426E-3</v>
      </c>
      <c r="I76" s="1" t="s">
        <v>10</v>
      </c>
      <c r="J76">
        <f t="shared" si="14"/>
        <v>1.9148571335329767E-2</v>
      </c>
      <c r="K76">
        <f t="shared" si="15"/>
        <v>0</v>
      </c>
      <c r="L76">
        <f t="shared" si="16"/>
        <v>-1.3424175158684104E-2</v>
      </c>
      <c r="M76">
        <f t="shared" si="17"/>
        <v>1.8038524256516197E-2</v>
      </c>
      <c r="N76">
        <f t="shared" si="18"/>
        <v>1.1174593265571353E-2</v>
      </c>
      <c r="O76">
        <f t="shared" si="19"/>
        <v>-3.8754570487637974E-3</v>
      </c>
    </row>
    <row r="77" spans="1:17" x14ac:dyDescent="0.3">
      <c r="A77" s="1" t="s">
        <v>11</v>
      </c>
      <c r="B77">
        <f t="shared" si="9"/>
        <v>-0.10686588756832627</v>
      </c>
      <c r="C77">
        <f t="shared" si="10"/>
        <v>3.6336273617607606E-3</v>
      </c>
      <c r="D77">
        <f t="shared" si="11"/>
        <v>2.0022047281749167E-3</v>
      </c>
      <c r="E77">
        <f t="shared" si="12"/>
        <v>6.4243391228045121E-2</v>
      </c>
      <c r="F77">
        <f t="shared" si="13"/>
        <v>-2.4744255200432996E-2</v>
      </c>
      <c r="G77">
        <f t="shared" si="20"/>
        <v>-3.6012048452778722E-2</v>
      </c>
      <c r="I77" s="1" t="s">
        <v>11</v>
      </c>
      <c r="J77">
        <f t="shared" si="14"/>
        <v>-0.11558010985105738</v>
      </c>
      <c r="K77">
        <f t="shared" si="15"/>
        <v>-1.1399341643278937E-3</v>
      </c>
      <c r="L77">
        <f t="shared" si="16"/>
        <v>-5.0620395969835918E-4</v>
      </c>
      <c r="M77">
        <f t="shared" si="17"/>
        <v>7.3069238102560385E-2</v>
      </c>
      <c r="N77">
        <f t="shared" si="18"/>
        <v>-2.5617980905598969E-2</v>
      </c>
      <c r="O77">
        <f t="shared" si="19"/>
        <v>-4.0020291930282947E-2</v>
      </c>
    </row>
    <row r="78" spans="1:17" x14ac:dyDescent="0.3">
      <c r="A78" s="1" t="s">
        <v>12</v>
      </c>
      <c r="B78">
        <f t="shared" si="9"/>
        <v>4.2835400237238308E-3</v>
      </c>
      <c r="C78">
        <f t="shared" si="10"/>
        <v>2.2855614155065845E-2</v>
      </c>
      <c r="D78">
        <f t="shared" si="11"/>
        <v>0</v>
      </c>
      <c r="E78">
        <f t="shared" si="12"/>
        <v>-5.9789496037909728E-4</v>
      </c>
      <c r="F78">
        <f t="shared" si="13"/>
        <v>-5.6651860077556737E-3</v>
      </c>
      <c r="G78">
        <f t="shared" si="20"/>
        <v>1.6066366008680139E-2</v>
      </c>
      <c r="I78" s="1" t="s">
        <v>12</v>
      </c>
      <c r="J78">
        <f t="shared" si="14"/>
        <v>6.0400975162077097E-3</v>
      </c>
      <c r="K78">
        <f t="shared" si="15"/>
        <v>2.3561805357429882E-2</v>
      </c>
      <c r="L78">
        <f t="shared" si="16"/>
        <v>0</v>
      </c>
      <c r="M78">
        <f t="shared" si="17"/>
        <v>-1.4820827388578317E-3</v>
      </c>
      <c r="N78">
        <f t="shared" si="18"/>
        <v>-7.4671155184107274E-3</v>
      </c>
      <c r="O78">
        <f t="shared" si="19"/>
        <v>1.3948775757146897E-2</v>
      </c>
    </row>
    <row r="79" spans="1:17" x14ac:dyDescent="0.3">
      <c r="A79" s="1" t="s">
        <v>13</v>
      </c>
      <c r="B79">
        <f t="shared" si="9"/>
        <v>6.0880346855816114E-2</v>
      </c>
      <c r="C79">
        <f t="shared" si="10"/>
        <v>4.517989352911056E-2</v>
      </c>
      <c r="D79">
        <f t="shared" si="11"/>
        <v>-0.12722765864391272</v>
      </c>
      <c r="E79">
        <f t="shared" si="12"/>
        <v>0</v>
      </c>
      <c r="F79">
        <f t="shared" si="13"/>
        <v>-4.9439438747211906E-3</v>
      </c>
      <c r="G79">
        <f t="shared" si="20"/>
        <v>-9.0897352829379496E-2</v>
      </c>
      <c r="I79" s="1" t="s">
        <v>13</v>
      </c>
      <c r="J79">
        <f t="shared" si="14"/>
        <v>7.7541228330185952E-2</v>
      </c>
      <c r="K79">
        <f t="shared" si="15"/>
        <v>5.1585582482988057E-2</v>
      </c>
      <c r="L79" s="6">
        <f t="shared" si="16"/>
        <v>-0.15693067235081082</v>
      </c>
      <c r="M79">
        <f t="shared" si="17"/>
        <v>0</v>
      </c>
      <c r="N79">
        <f t="shared" si="18"/>
        <v>-1.5803496169365161E-2</v>
      </c>
      <c r="O79">
        <f t="shared" si="19"/>
        <v>-0.10987793488191722</v>
      </c>
    </row>
    <row r="80" spans="1:17" x14ac:dyDescent="0.3">
      <c r="A80" s="1" t="s">
        <v>14</v>
      </c>
      <c r="B80">
        <f t="shared" si="9"/>
        <v>-7.14289024424275E-4</v>
      </c>
      <c r="C80">
        <f t="shared" si="10"/>
        <v>2.9510948535904413E-2</v>
      </c>
      <c r="D80">
        <f t="shared" si="11"/>
        <v>-5.839755452836437E-3</v>
      </c>
      <c r="E80">
        <f t="shared" si="12"/>
        <v>-5.1313700514733274E-2</v>
      </c>
      <c r="F80">
        <f t="shared" si="13"/>
        <v>0</v>
      </c>
      <c r="G80">
        <f t="shared" si="20"/>
        <v>1.1489247375482736E-2</v>
      </c>
      <c r="I80" s="1" t="s">
        <v>14</v>
      </c>
      <c r="J80">
        <f t="shared" si="14"/>
        <v>-3.537493566061034E-3</v>
      </c>
      <c r="K80">
        <f t="shared" si="15"/>
        <v>3.7121049845833642E-2</v>
      </c>
      <c r="L80">
        <f t="shared" si="16"/>
        <v>-3.2671118102130525E-3</v>
      </c>
      <c r="M80">
        <f t="shared" si="17"/>
        <v>-5.3891959730627548E-2</v>
      </c>
      <c r="N80">
        <f t="shared" si="18"/>
        <v>0</v>
      </c>
      <c r="O80">
        <f t="shared" si="19"/>
        <v>7.2509930126002375E-3</v>
      </c>
    </row>
    <row r="81" spans="1:15" x14ac:dyDescent="0.3">
      <c r="A81" s="1" t="s">
        <v>15</v>
      </c>
      <c r="B81">
        <f t="shared" si="9"/>
        <v>-4.3808648011165352E-2</v>
      </c>
      <c r="C81">
        <f t="shared" si="10"/>
        <v>3.4039210443320866E-2</v>
      </c>
      <c r="D81">
        <f t="shared" si="11"/>
        <v>-1.5125829675527447E-2</v>
      </c>
      <c r="E81">
        <f t="shared" si="12"/>
        <v>-6.2072502866653279E-3</v>
      </c>
      <c r="F81">
        <f t="shared" si="13"/>
        <v>-6.8954395073152541E-2</v>
      </c>
      <c r="G81">
        <f t="shared" si="20"/>
        <v>2.8444524711587205E-3</v>
      </c>
      <c r="I81" s="1" t="s">
        <v>15</v>
      </c>
      <c r="J81">
        <f t="shared" si="14"/>
        <v>-3.8499318438809493E-2</v>
      </c>
      <c r="K81">
        <f t="shared" si="15"/>
        <v>6.4410563255508202E-2</v>
      </c>
      <c r="L81">
        <f t="shared" si="16"/>
        <v>-2.1746213304617346E-2</v>
      </c>
      <c r="M81">
        <f t="shared" si="17"/>
        <v>-1.0193545635364953E-2</v>
      </c>
      <c r="N81">
        <f t="shared" si="18"/>
        <v>1.1595951392285087E-2</v>
      </c>
      <c r="O81">
        <f t="shared" si="19"/>
        <v>4.8316762946210567E-3</v>
      </c>
    </row>
    <row r="82" spans="1:15" x14ac:dyDescent="0.3">
      <c r="A82" s="1" t="s">
        <v>16</v>
      </c>
      <c r="B82">
        <f t="shared" si="9"/>
        <v>-7.8522188767482515E-4</v>
      </c>
      <c r="C82">
        <f t="shared" si="10"/>
        <v>-9.0846876909465857E-3</v>
      </c>
      <c r="D82">
        <f t="shared" si="11"/>
        <v>4.2050188124199694E-3</v>
      </c>
      <c r="E82">
        <f t="shared" si="12"/>
        <v>2.0623843279932996E-3</v>
      </c>
      <c r="F82">
        <f t="shared" si="13"/>
        <v>-2.7098043921596204E-2</v>
      </c>
      <c r="G82">
        <f t="shared" si="20"/>
        <v>1.9589048994160807E-2</v>
      </c>
      <c r="I82" s="1" t="s">
        <v>16</v>
      </c>
      <c r="J82">
        <f t="shared" si="14"/>
        <v>-1.5163917315128561E-3</v>
      </c>
      <c r="K82">
        <f t="shared" si="15"/>
        <v>-7.3973649332075009E-3</v>
      </c>
      <c r="L82">
        <f t="shared" si="16"/>
        <v>5.5745129489104261E-4</v>
      </c>
      <c r="M82">
        <f t="shared" si="17"/>
        <v>3.7728165279138359E-3</v>
      </c>
      <c r="N82">
        <f t="shared" si="18"/>
        <v>-3.0023195720907392E-2</v>
      </c>
      <c r="O82">
        <f t="shared" si="19"/>
        <v>1.6328721590453676E-2</v>
      </c>
    </row>
    <row r="83" spans="1:15" x14ac:dyDescent="0.3">
      <c r="A83" s="1" t="s">
        <v>17</v>
      </c>
      <c r="B83">
        <f t="shared" si="9"/>
        <v>-1.3897315956656886E-3</v>
      </c>
      <c r="C83">
        <f t="shared" si="10"/>
        <v>-2.1527984892324215E-2</v>
      </c>
      <c r="D83">
        <f t="shared" si="11"/>
        <v>4.9190595278753024E-3</v>
      </c>
      <c r="E83">
        <f t="shared" si="12"/>
        <v>8.991180469544946E-3</v>
      </c>
      <c r="F83">
        <f t="shared" si="13"/>
        <v>-1.0175999862253593E-3</v>
      </c>
      <c r="G83">
        <f t="shared" si="20"/>
        <v>7.005022424126206E-3</v>
      </c>
      <c r="I83" s="1" t="s">
        <v>17</v>
      </c>
      <c r="J83">
        <f t="shared" si="14"/>
        <v>-5.7415127987394121E-3</v>
      </c>
      <c r="K83">
        <f t="shared" si="15"/>
        <v>-1.8863286758925013E-2</v>
      </c>
      <c r="L83">
        <f t="shared" si="16"/>
        <v>2.1121781979605014E-5</v>
      </c>
      <c r="M83">
        <f t="shared" si="17"/>
        <v>1.4056793658175998E-2</v>
      </c>
      <c r="N83">
        <f t="shared" si="18"/>
        <v>-3.9749259530229564E-3</v>
      </c>
      <c r="O83">
        <f t="shared" si="19"/>
        <v>5.5402968948619624E-3</v>
      </c>
    </row>
    <row r="84" spans="1:15" x14ac:dyDescent="0.3">
      <c r="A84" s="1" t="s">
        <v>18</v>
      </c>
      <c r="B84">
        <f t="shared" si="9"/>
        <v>-1.4503693426741182E-2</v>
      </c>
      <c r="C84">
        <f t="shared" si="10"/>
        <v>3.9147397951611596E-2</v>
      </c>
      <c r="D84">
        <f t="shared" si="11"/>
        <v>-3.827595828721142E-2</v>
      </c>
      <c r="E84">
        <f t="shared" si="12"/>
        <v>2.5044519950075728E-2</v>
      </c>
      <c r="F84">
        <f t="shared" si="13"/>
        <v>-1.3061061919886763E-3</v>
      </c>
      <c r="G84">
        <f t="shared" si="20"/>
        <v>-5.5923440701163007E-2</v>
      </c>
      <c r="I84" s="1" t="s">
        <v>18</v>
      </c>
      <c r="J84">
        <f t="shared" si="14"/>
        <v>-1.2996413121761696E-2</v>
      </c>
      <c r="K84">
        <f t="shared" si="15"/>
        <v>3.5708667873750266E-2</v>
      </c>
      <c r="L84">
        <f t="shared" si="16"/>
        <v>-3.2424111447810766E-2</v>
      </c>
      <c r="M84">
        <f t="shared" si="17"/>
        <v>2.1832573186064907E-2</v>
      </c>
      <c r="N84">
        <f t="shared" si="18"/>
        <v>2.7854226628425405E-3</v>
      </c>
      <c r="O84">
        <f t="shared" si="19"/>
        <v>-5.063435115002507E-2</v>
      </c>
    </row>
    <row r="85" spans="1:15" x14ac:dyDescent="0.3">
      <c r="A85" s="1" t="s">
        <v>19</v>
      </c>
      <c r="B85">
        <f t="shared" si="9"/>
        <v>-4.2784087833150908E-3</v>
      </c>
      <c r="C85">
        <f t="shared" si="10"/>
        <v>1.2628183909355606E-2</v>
      </c>
      <c r="D85">
        <f t="shared" si="11"/>
        <v>4.1569076165959284E-3</v>
      </c>
      <c r="E85">
        <f t="shared" si="12"/>
        <v>-3.4613153434139066E-2</v>
      </c>
      <c r="F85">
        <f t="shared" si="13"/>
        <v>1.2717149765328006E-2</v>
      </c>
      <c r="G85">
        <f t="shared" si="20"/>
        <v>-2.8758860488424021E-2</v>
      </c>
      <c r="I85" s="1" t="s">
        <v>19</v>
      </c>
      <c r="J85">
        <f t="shared" si="14"/>
        <v>-4.6343599336415298E-3</v>
      </c>
      <c r="K85">
        <f t="shared" si="15"/>
        <v>7.176082006200013E-3</v>
      </c>
      <c r="L85">
        <f t="shared" si="16"/>
        <v>1.588768563429177E-2</v>
      </c>
      <c r="M85">
        <f t="shared" si="17"/>
        <v>-3.3962379781208973E-2</v>
      </c>
      <c r="N85">
        <f t="shared" si="18"/>
        <v>6.8835900116642756E-3</v>
      </c>
      <c r="O85">
        <f t="shared" si="19"/>
        <v>-2.7777191413618674E-2</v>
      </c>
    </row>
    <row r="86" spans="1:15" x14ac:dyDescent="0.3">
      <c r="A86" s="1" t="s">
        <v>20</v>
      </c>
      <c r="B86">
        <f t="shared" si="9"/>
        <v>1.627417405977738E-2</v>
      </c>
      <c r="C86">
        <f t="shared" si="10"/>
        <v>3.7149869552787207E-3</v>
      </c>
      <c r="D86">
        <f t="shared" si="11"/>
        <v>-6.4923899021727127E-3</v>
      </c>
      <c r="E86">
        <f t="shared" si="12"/>
        <v>-8.3709678492649431E-3</v>
      </c>
      <c r="F86">
        <f t="shared" si="13"/>
        <v>-6.5623908448851909E-3</v>
      </c>
      <c r="G86">
        <f t="shared" si="20"/>
        <v>0</v>
      </c>
      <c r="I86" s="1" t="s">
        <v>20</v>
      </c>
      <c r="J86">
        <f t="shared" si="14"/>
        <v>1.8312676029745401E-2</v>
      </c>
      <c r="K86">
        <f t="shared" si="15"/>
        <v>4.6970200358934511E-3</v>
      </c>
      <c r="L86">
        <f t="shared" si="16"/>
        <v>-9.692487749753731E-3</v>
      </c>
      <c r="M86">
        <f t="shared" si="17"/>
        <v>-8.6091503322234253E-3</v>
      </c>
      <c r="N86">
        <f t="shared" si="18"/>
        <v>-6.3351178668753505E-3</v>
      </c>
      <c r="O86">
        <f t="shared" si="19"/>
        <v>0</v>
      </c>
    </row>
    <row r="88" spans="1:15" x14ac:dyDescent="0.3">
      <c r="A88" s="22" t="s">
        <v>27</v>
      </c>
      <c r="B88" s="22"/>
      <c r="C88" s="22"/>
      <c r="D88" s="22"/>
      <c r="E88" s="22"/>
      <c r="F88" s="22"/>
      <c r="G88" s="22"/>
      <c r="I88" s="22" t="s">
        <v>27</v>
      </c>
      <c r="J88" s="22"/>
      <c r="K88" s="22"/>
      <c r="L88" s="22"/>
      <c r="M88" s="22"/>
      <c r="N88" s="22"/>
      <c r="O88" s="22"/>
    </row>
    <row r="89" spans="1:15" x14ac:dyDescent="0.3">
      <c r="A89" s="1" t="s">
        <v>39</v>
      </c>
      <c r="B89" t="s">
        <v>61</v>
      </c>
      <c r="C89" t="s">
        <v>40</v>
      </c>
      <c r="D89" t="s">
        <v>43</v>
      </c>
      <c r="E89" t="s">
        <v>44</v>
      </c>
      <c r="F89" t="s">
        <v>41</v>
      </c>
      <c r="G89" t="s">
        <v>42</v>
      </c>
      <c r="I89" s="1" t="s">
        <v>39</v>
      </c>
      <c r="J89" t="s">
        <v>61</v>
      </c>
      <c r="K89" t="s">
        <v>40</v>
      </c>
      <c r="L89" t="s">
        <v>43</v>
      </c>
      <c r="M89" t="s">
        <v>44</v>
      </c>
      <c r="N89" t="s">
        <v>41</v>
      </c>
      <c r="O89" t="s">
        <v>42</v>
      </c>
    </row>
    <row r="90" spans="1:15" x14ac:dyDescent="0.3">
      <c r="A90">
        <f>AVERAGE(B71:G86)</f>
        <v>-2.2150875104731882E-3</v>
      </c>
      <c r="B90">
        <f>STDEV(B71:G86)</f>
        <v>5.1149694532230068E-2</v>
      </c>
      <c r="C90">
        <f>MEDIAN(B71:G86)</f>
        <v>-7.4975545604955007E-4</v>
      </c>
      <c r="D90">
        <f>MIN(B71:G86)</f>
        <v>-0.12722765864391272</v>
      </c>
      <c r="E90">
        <f>MAX(B71:G86)</f>
        <v>0.37858749343673814</v>
      </c>
      <c r="F90">
        <f>G71*-1</f>
        <v>-6.772607446252632E-4</v>
      </c>
      <c r="G90" cm="1">
        <f t="array" ref="G90">MAX(ABS(B71:G86))</f>
        <v>0.37858749343673814</v>
      </c>
      <c r="I90">
        <f>AVERAGE(J71:O86)</f>
        <v>-6.0970192546566651E-3</v>
      </c>
      <c r="J90">
        <f>STDEV(J71:O86)</f>
        <v>3.5517594953098808E-2</v>
      </c>
      <c r="K90">
        <f>MEDIAN(J71:O86)</f>
        <v>-1.4092140506541256E-3</v>
      </c>
      <c r="L90">
        <f>MIN(J71:O86)</f>
        <v>-0.15693067235081082</v>
      </c>
      <c r="M90">
        <f>MAX(J71:O86)</f>
        <v>7.7541228330185952E-2</v>
      </c>
      <c r="N90">
        <f>O72</f>
        <v>1.0048673532303543E-4</v>
      </c>
      <c r="O90" cm="1">
        <f t="array" ref="O90">MAX(ABS(J71:O86))</f>
        <v>0.15693067235081082</v>
      </c>
    </row>
  </sheetData>
  <mergeCells count="12">
    <mergeCell ref="A8:G8"/>
    <mergeCell ref="A27:G27"/>
    <mergeCell ref="I8:O8"/>
    <mergeCell ref="I27:O27"/>
    <mergeCell ref="A88:G88"/>
    <mergeCell ref="I69:O69"/>
    <mergeCell ref="I88:O88"/>
    <mergeCell ref="A46:G46"/>
    <mergeCell ref="I46:O46"/>
    <mergeCell ref="A65:G65"/>
    <mergeCell ref="I65:O65"/>
    <mergeCell ref="A69:G6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DB5B7ED115EF04980BBFAFC51672553" ma:contentTypeVersion="7" ma:contentTypeDescription="Create a new document." ma:contentTypeScope="" ma:versionID="b8b27a01019c8f1f5f85cfa193824b14">
  <xsd:schema xmlns:xsd="http://www.w3.org/2001/XMLSchema" xmlns:xs="http://www.w3.org/2001/XMLSchema" xmlns:p="http://schemas.microsoft.com/office/2006/metadata/properties" xmlns:ns3="070f1269-45c1-4463-99ba-5dc4e57c7dff" xmlns:ns4="7bf50b4b-6300-445a-aea1-306a2291592c" targetNamespace="http://schemas.microsoft.com/office/2006/metadata/properties" ma:root="true" ma:fieldsID="63af16f05df1fbe665c061d280c7c480" ns3:_="" ns4:_="">
    <xsd:import namespace="070f1269-45c1-4463-99ba-5dc4e57c7dff"/>
    <xsd:import namespace="7bf50b4b-6300-445a-aea1-306a229159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0f1269-45c1-4463-99ba-5dc4e57c7df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f50b4b-6300-445a-aea1-306a2291592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70f1269-45c1-4463-99ba-5dc4e57c7df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2507013-1949-460D-8B23-A89C54AA7D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70f1269-45c1-4463-99ba-5dc4e57c7dff"/>
    <ds:schemaRef ds:uri="7bf50b4b-6300-445a-aea1-306a229159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FA2A50-E890-4E3A-83BB-3BB40B247E64}">
  <ds:schemaRefs>
    <ds:schemaRef ds:uri="http://purl.org/dc/terms/"/>
    <ds:schemaRef ds:uri="070f1269-45c1-4463-99ba-5dc4e57c7dff"/>
    <ds:schemaRef ds:uri="http://www.w3.org/XML/1998/namespace"/>
    <ds:schemaRef ds:uri="http://purl.org/dc/dcmitype/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7bf50b4b-6300-445a-aea1-306a2291592c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D86A451-E88F-4AAB-A956-7F6F555EE94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Optimized Production Rates</vt:lpstr>
      <vt:lpstr>Optimized B Values</vt:lpstr>
      <vt:lpstr>Optimized Weights</vt:lpstr>
      <vt:lpstr>Optimization Diagnostics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Chun, Nikki</dc:creator>
  <cp:lastModifiedBy>Chun, Nikki</cp:lastModifiedBy>
  <dcterms:created xsi:type="dcterms:W3CDTF">2023-12-06T03:54:59Z</dcterms:created>
  <dcterms:modified xsi:type="dcterms:W3CDTF">2026-04-23T23:18:27Z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0x0101008DB5B7ED115EF04980BBFAFC51672553</vt:lpwstr>
  </property>
</Properties>
</file>