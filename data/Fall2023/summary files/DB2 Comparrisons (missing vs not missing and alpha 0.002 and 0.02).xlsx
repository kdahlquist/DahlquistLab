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Fall2023/summary files/"/>
    </mc:Choice>
  </mc:AlternateContent>
  <xr:revisionPtr revIDLastSave="0" documentId="8_{0B9F7AD6-7DEE-4F6C-BC3D-E46EA13F5528}" xr6:coauthVersionLast="47" xr6:coauthVersionMax="47" xr10:uidLastSave="{00000000-0000-0000-0000-000000000000}"/>
  <bookViews>
    <workbookView xWindow="1480" yWindow="-15130" windowWidth="19850" windowHeight="11140" activeTab="2" xr2:uid="{2129298C-101F-4385-BEF7-088C750FC47E}"/>
  </bookViews>
  <sheets>
    <sheet name="Optimized Production Rates" sheetId="1" r:id="rId1"/>
    <sheet name="Optimized B Values" sheetId="2" r:id="rId2"/>
    <sheet name="Optimized Weights" sheetId="3" r:id="rId3"/>
    <sheet name="Optimization Diagnost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2" l="1"/>
  <c r="F67" i="2"/>
  <c r="F66" i="2"/>
  <c r="F65" i="2"/>
  <c r="G66" i="2"/>
  <c r="G65" i="2"/>
  <c r="F43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G50" i="2"/>
  <c r="F50" i="2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G53" i="1"/>
  <c r="F53" i="1"/>
  <c r="H188" i="3"/>
  <c r="H187" i="3"/>
  <c r="C188" i="3"/>
  <c r="C187" i="3"/>
  <c r="G134" i="3"/>
  <c r="H134" i="3"/>
  <c r="G135" i="3"/>
  <c r="H135" i="3"/>
  <c r="G136" i="3"/>
  <c r="H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H133" i="3"/>
  <c r="G133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F29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G28" i="2"/>
  <c r="G45" i="2" s="1"/>
  <c r="F28" i="2"/>
  <c r="G43" i="1"/>
  <c r="G44" i="1"/>
  <c r="G45" i="1"/>
  <c r="F45" i="1"/>
  <c r="F44" i="1"/>
  <c r="F43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K71" i="4"/>
  <c r="L71" i="4"/>
  <c r="M71" i="4"/>
  <c r="N71" i="4"/>
  <c r="J71" i="4"/>
  <c r="B71" i="4"/>
  <c r="C71" i="4"/>
  <c r="D71" i="4"/>
  <c r="E71" i="4"/>
  <c r="F71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G43" i="2" l="1"/>
  <c r="F45" i="2"/>
  <c r="F44" i="2"/>
  <c r="G44" i="2"/>
  <c r="H63" i="3"/>
  <c r="J4" i="2"/>
  <c r="J5" i="2"/>
  <c r="J6" i="2"/>
  <c r="J7" i="2"/>
  <c r="J8" i="2"/>
  <c r="J9" i="2"/>
  <c r="J10" i="2"/>
  <c r="J11" i="2"/>
  <c r="J12" i="2"/>
  <c r="J13" i="2"/>
  <c r="J14" i="2"/>
  <c r="J23" i="2" s="1" a="1"/>
  <c r="J23" i="2" s="1"/>
  <c r="J15" i="2"/>
  <c r="J22" i="2" s="1" a="1"/>
  <c r="J22" i="2" s="1"/>
  <c r="J16" i="2"/>
  <c r="J3" i="2"/>
  <c r="I4" i="2"/>
  <c r="I5" i="2"/>
  <c r="I6" i="2"/>
  <c r="I7" i="2"/>
  <c r="I8" i="2"/>
  <c r="I9" i="2"/>
  <c r="I10" i="2"/>
  <c r="I11" i="2"/>
  <c r="I12" i="2"/>
  <c r="I20" i="2" s="1"/>
  <c r="I13" i="2"/>
  <c r="I14" i="2"/>
  <c r="I15" i="2"/>
  <c r="I21" i="2" s="1"/>
  <c r="I16" i="2"/>
  <c r="I3" i="2"/>
  <c r="H16" i="2"/>
  <c r="H4" i="2"/>
  <c r="H5" i="2"/>
  <c r="H6" i="2"/>
  <c r="H23" i="2" s="1" a="1"/>
  <c r="H23" i="2" s="1"/>
  <c r="H7" i="2"/>
  <c r="H8" i="2"/>
  <c r="H9" i="2"/>
  <c r="H10" i="2"/>
  <c r="H11" i="2"/>
  <c r="H12" i="2"/>
  <c r="H13" i="2"/>
  <c r="H14" i="2"/>
  <c r="H22" i="2" s="1" a="1"/>
  <c r="H22" i="2" s="1"/>
  <c r="H15" i="2"/>
  <c r="H3" i="2"/>
  <c r="G4" i="2"/>
  <c r="G5" i="2"/>
  <c r="G6" i="2"/>
  <c r="G7" i="2"/>
  <c r="G8" i="2"/>
  <c r="G9" i="2"/>
  <c r="G10" i="2"/>
  <c r="G11" i="2"/>
  <c r="G12" i="2"/>
  <c r="G13" i="2"/>
  <c r="G21" i="2" s="1"/>
  <c r="G14" i="2"/>
  <c r="G23" i="2" s="1" a="1"/>
  <c r="G23" i="2" s="1"/>
  <c r="G15" i="2"/>
  <c r="G22" i="2" s="1" a="1"/>
  <c r="G22" i="2" s="1"/>
  <c r="G16" i="2"/>
  <c r="G20" i="2" s="1"/>
  <c r="G3" i="2"/>
  <c r="J4" i="1"/>
  <c r="J20" i="1" s="1"/>
  <c r="J5" i="1"/>
  <c r="J6" i="1"/>
  <c r="J7" i="1"/>
  <c r="J8" i="1"/>
  <c r="J9" i="1"/>
  <c r="J10" i="1"/>
  <c r="J11" i="1"/>
  <c r="J12" i="1"/>
  <c r="J13" i="1"/>
  <c r="J14" i="1"/>
  <c r="J15" i="1"/>
  <c r="J16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I22" i="1" s="1" a="1"/>
  <c r="I22" i="1" s="1"/>
  <c r="H4" i="1"/>
  <c r="H5" i="1"/>
  <c r="H6" i="1"/>
  <c r="H7" i="1"/>
  <c r="H8" i="1"/>
  <c r="H9" i="1"/>
  <c r="H10" i="1"/>
  <c r="H11" i="1"/>
  <c r="H12" i="1"/>
  <c r="H13" i="1"/>
  <c r="H14" i="1"/>
  <c r="H20" i="1" s="1"/>
  <c r="H15" i="1"/>
  <c r="H16" i="1"/>
  <c r="H3" i="1"/>
  <c r="G4" i="1"/>
  <c r="G5" i="1"/>
  <c r="G6" i="1"/>
  <c r="G23" i="1" s="1" a="1"/>
  <c r="G23" i="1" s="1"/>
  <c r="G7" i="1"/>
  <c r="G20" i="1" s="1"/>
  <c r="G8" i="1"/>
  <c r="G9" i="1"/>
  <c r="G10" i="1"/>
  <c r="G22" i="1" s="1" a="1"/>
  <c r="G22" i="1" s="1"/>
  <c r="G11" i="1"/>
  <c r="G12" i="1"/>
  <c r="G13" i="1"/>
  <c r="G14" i="1"/>
  <c r="G15" i="1"/>
  <c r="G16" i="1"/>
  <c r="G3" i="1"/>
  <c r="H21" i="2"/>
  <c r="I22" i="2" a="1"/>
  <c r="I22" i="2" s="1"/>
  <c r="I23" i="2" a="1"/>
  <c r="I23" i="2" s="1"/>
  <c r="N90" i="4"/>
  <c r="F90" i="4"/>
  <c r="G66" i="3"/>
  <c r="G4" i="4"/>
  <c r="G5" i="4"/>
  <c r="G6" i="4"/>
  <c r="G3" i="4"/>
  <c r="K48" i="4"/>
  <c r="L48" i="4"/>
  <c r="M48" i="4"/>
  <c r="N48" i="4"/>
  <c r="K49" i="4"/>
  <c r="L49" i="4"/>
  <c r="M49" i="4"/>
  <c r="N49" i="4"/>
  <c r="N67" i="4"/>
  <c r="K50" i="4"/>
  <c r="L50" i="4"/>
  <c r="M50" i="4"/>
  <c r="N50" i="4"/>
  <c r="K51" i="4"/>
  <c r="L51" i="4"/>
  <c r="M51" i="4"/>
  <c r="N51" i="4"/>
  <c r="K52" i="4"/>
  <c r="L52" i="4"/>
  <c r="M52" i="4"/>
  <c r="N52" i="4"/>
  <c r="K53" i="4"/>
  <c r="L53" i="4"/>
  <c r="M53" i="4"/>
  <c r="N53" i="4"/>
  <c r="K54" i="4"/>
  <c r="L54" i="4"/>
  <c r="M54" i="4"/>
  <c r="N54" i="4"/>
  <c r="K55" i="4"/>
  <c r="L55" i="4"/>
  <c r="M55" i="4"/>
  <c r="N55" i="4"/>
  <c r="K56" i="4"/>
  <c r="L56" i="4"/>
  <c r="M56" i="4"/>
  <c r="N56" i="4"/>
  <c r="K57" i="4"/>
  <c r="L57" i="4"/>
  <c r="M57" i="4"/>
  <c r="N57" i="4"/>
  <c r="K58" i="4"/>
  <c r="L58" i="4"/>
  <c r="M58" i="4"/>
  <c r="N58" i="4"/>
  <c r="K59" i="4"/>
  <c r="L59" i="4"/>
  <c r="M59" i="4"/>
  <c r="N59" i="4"/>
  <c r="K60" i="4"/>
  <c r="L60" i="4"/>
  <c r="M60" i="4"/>
  <c r="N60" i="4"/>
  <c r="K61" i="4"/>
  <c r="L61" i="4"/>
  <c r="M61" i="4"/>
  <c r="N61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48" i="4"/>
  <c r="C48" i="4"/>
  <c r="D48" i="4"/>
  <c r="E48" i="4"/>
  <c r="F48" i="4"/>
  <c r="F67" i="4"/>
  <c r="C49" i="4"/>
  <c r="D49" i="4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E53" i="4"/>
  <c r="F53" i="4"/>
  <c r="C54" i="4"/>
  <c r="D54" i="4"/>
  <c r="E54" i="4"/>
  <c r="F54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48" i="4"/>
  <c r="H4" i="4"/>
  <c r="H5" i="4"/>
  <c r="H6" i="4"/>
  <c r="H3" i="4"/>
  <c r="F4" i="4"/>
  <c r="F5" i="4"/>
  <c r="F6" i="4"/>
  <c r="F3" i="4"/>
  <c r="L71" i="3"/>
  <c r="K47" i="3"/>
  <c r="Y63" i="3"/>
  <c r="Z63" i="3"/>
  <c r="AA63" i="3"/>
  <c r="AB63" i="3"/>
  <c r="AC63" i="3"/>
  <c r="AD63" i="3"/>
  <c r="AE63" i="3"/>
  <c r="AF63" i="3"/>
  <c r="AG63" i="3"/>
  <c r="Y64" i="3"/>
  <c r="Z64" i="3"/>
  <c r="AA64" i="3"/>
  <c r="AB64" i="3"/>
  <c r="AC64" i="3"/>
  <c r="AD64" i="3"/>
  <c r="AE64" i="3"/>
  <c r="AF64" i="3"/>
  <c r="AG64" i="3"/>
  <c r="Y65" i="3"/>
  <c r="Z65" i="3"/>
  <c r="AA65" i="3"/>
  <c r="AB65" i="3"/>
  <c r="AC65" i="3"/>
  <c r="AD65" i="3"/>
  <c r="AE65" i="3"/>
  <c r="AF65" i="3"/>
  <c r="AG65" i="3"/>
  <c r="Y66" i="3"/>
  <c r="Z66" i="3"/>
  <c r="AA66" i="3"/>
  <c r="AB66" i="3"/>
  <c r="AC66" i="3"/>
  <c r="AD66" i="3"/>
  <c r="AE66" i="3"/>
  <c r="AF66" i="3"/>
  <c r="AG66" i="3"/>
  <c r="Y67" i="3"/>
  <c r="Z67" i="3"/>
  <c r="AA67" i="3"/>
  <c r="AB67" i="3"/>
  <c r="AC67" i="3"/>
  <c r="AD67" i="3"/>
  <c r="AE67" i="3"/>
  <c r="AF67" i="3"/>
  <c r="AG67" i="3"/>
  <c r="Y68" i="3"/>
  <c r="Z68" i="3"/>
  <c r="AA68" i="3"/>
  <c r="AB68" i="3"/>
  <c r="AC68" i="3"/>
  <c r="AD68" i="3"/>
  <c r="AE68" i="3"/>
  <c r="AF68" i="3"/>
  <c r="AG68" i="3"/>
  <c r="Y69" i="3"/>
  <c r="Z69" i="3"/>
  <c r="AA69" i="3"/>
  <c r="AB69" i="3"/>
  <c r="AC69" i="3"/>
  <c r="AD69" i="3"/>
  <c r="AE69" i="3"/>
  <c r="AF69" i="3"/>
  <c r="AG69" i="3"/>
  <c r="Y70" i="3"/>
  <c r="Z70" i="3"/>
  <c r="AA70" i="3"/>
  <c r="AB70" i="3"/>
  <c r="AC70" i="3"/>
  <c r="AD70" i="3"/>
  <c r="AE70" i="3"/>
  <c r="AF70" i="3"/>
  <c r="AG70" i="3"/>
  <c r="Y71" i="3"/>
  <c r="Z71" i="3"/>
  <c r="AA71" i="3"/>
  <c r="AB71" i="3"/>
  <c r="AC71" i="3"/>
  <c r="AD71" i="3"/>
  <c r="AE71" i="3"/>
  <c r="AF71" i="3"/>
  <c r="AG71" i="3"/>
  <c r="Y72" i="3"/>
  <c r="Z72" i="3"/>
  <c r="AA72" i="3"/>
  <c r="AB72" i="3"/>
  <c r="AC72" i="3"/>
  <c r="AD72" i="3"/>
  <c r="AE72" i="3"/>
  <c r="AF72" i="3"/>
  <c r="AG72" i="3"/>
  <c r="Y73" i="3"/>
  <c r="Z73" i="3"/>
  <c r="AA73" i="3"/>
  <c r="AB73" i="3"/>
  <c r="AC73" i="3"/>
  <c r="AD73" i="3"/>
  <c r="AE73" i="3"/>
  <c r="AF73" i="3"/>
  <c r="AG73" i="3"/>
  <c r="Y74" i="3"/>
  <c r="Z74" i="3"/>
  <c r="AA74" i="3"/>
  <c r="AB74" i="3"/>
  <c r="AC74" i="3"/>
  <c r="AD74" i="3"/>
  <c r="AE74" i="3"/>
  <c r="AF74" i="3"/>
  <c r="AG74" i="3"/>
  <c r="Y75" i="3"/>
  <c r="Z75" i="3"/>
  <c r="AA75" i="3"/>
  <c r="AB75" i="3"/>
  <c r="AC75" i="3"/>
  <c r="AD75" i="3"/>
  <c r="AE75" i="3"/>
  <c r="AF75" i="3"/>
  <c r="AG75" i="3"/>
  <c r="Y76" i="3"/>
  <c r="Z76" i="3"/>
  <c r="AA76" i="3"/>
  <c r="AB76" i="3"/>
  <c r="AC76" i="3"/>
  <c r="AD76" i="3"/>
  <c r="AE76" i="3"/>
  <c r="AF76" i="3"/>
  <c r="AG76" i="3"/>
  <c r="U63" i="3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63" i="3"/>
  <c r="C63" i="3"/>
  <c r="D63" i="3"/>
  <c r="E63" i="3"/>
  <c r="F63" i="3"/>
  <c r="G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C66" i="3"/>
  <c r="D66" i="3"/>
  <c r="E66" i="3"/>
  <c r="F66" i="3"/>
  <c r="H66" i="3"/>
  <c r="I66" i="3"/>
  <c r="J66" i="3"/>
  <c r="K66" i="3"/>
  <c r="L66" i="3"/>
  <c r="M66" i="3"/>
  <c r="N66" i="3"/>
  <c r="O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C71" i="3"/>
  <c r="D71" i="3"/>
  <c r="E71" i="3"/>
  <c r="F71" i="3"/>
  <c r="G71" i="3"/>
  <c r="H71" i="3"/>
  <c r="I71" i="3"/>
  <c r="J71" i="3"/>
  <c r="K71" i="3"/>
  <c r="M71" i="3"/>
  <c r="N71" i="3"/>
  <c r="O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63" i="3"/>
  <c r="J41" i="3"/>
  <c r="T4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G41" i="3"/>
  <c r="AF41" i="3"/>
  <c r="AE41" i="3"/>
  <c r="AD41" i="3"/>
  <c r="AC41" i="3"/>
  <c r="AB41" i="3"/>
  <c r="AA41" i="3"/>
  <c r="Z41" i="3"/>
  <c r="Y41" i="3"/>
  <c r="X41" i="3"/>
  <c r="W41" i="3"/>
  <c r="AB59" i="3" s="1" a="1"/>
  <c r="AB59" i="3" s="1"/>
  <c r="V41" i="3"/>
  <c r="U41" i="3"/>
  <c r="T41" i="3"/>
  <c r="C41" i="3"/>
  <c r="D41" i="3"/>
  <c r="E41" i="3"/>
  <c r="F41" i="3"/>
  <c r="G41" i="3"/>
  <c r="H41" i="3"/>
  <c r="I41" i="3"/>
  <c r="K41" i="3"/>
  <c r="L41" i="3"/>
  <c r="M41" i="3"/>
  <c r="N41" i="3"/>
  <c r="O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C47" i="3"/>
  <c r="D47" i="3"/>
  <c r="E47" i="3"/>
  <c r="F47" i="3"/>
  <c r="G47" i="3"/>
  <c r="H47" i="3"/>
  <c r="I47" i="3"/>
  <c r="J47" i="3"/>
  <c r="L47" i="3"/>
  <c r="M47" i="3"/>
  <c r="N47" i="3"/>
  <c r="O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41" i="3"/>
  <c r="J81" i="3" l="1" a="1"/>
  <c r="J81" i="3" s="1"/>
  <c r="AB81" i="3" a="1"/>
  <c r="AB81" i="3" s="1"/>
  <c r="J59" i="3" a="1"/>
  <c r="J59" i="3" s="1"/>
  <c r="I23" i="1" a="1"/>
  <c r="I23" i="1" s="1"/>
  <c r="I21" i="1"/>
  <c r="I20" i="1"/>
  <c r="H22" i="1" a="1"/>
  <c r="H22" i="1" s="1"/>
  <c r="H23" i="1" a="1"/>
  <c r="H23" i="1" s="1"/>
  <c r="H21" i="1"/>
  <c r="H20" i="2"/>
  <c r="J20" i="2"/>
  <c r="J21" i="2"/>
  <c r="J22" i="1" a="1"/>
  <c r="J22" i="1" s="1"/>
  <c r="J21" i="1"/>
  <c r="J23" i="1" a="1"/>
  <c r="J23" i="1" s="1"/>
  <c r="G21" i="1"/>
  <c r="K67" i="4"/>
  <c r="I67" i="4"/>
  <c r="O90" i="4" a="1"/>
  <c r="O90" i="4" s="1"/>
  <c r="J67" i="4"/>
  <c r="L67" i="4"/>
  <c r="M67" i="4"/>
  <c r="O67" i="4" a="1"/>
  <c r="O67" i="4" s="1"/>
  <c r="B90" i="4"/>
  <c r="G90" i="4" a="1"/>
  <c r="G90" i="4" s="1"/>
  <c r="E90" i="4"/>
  <c r="B67" i="4"/>
  <c r="T59" i="3"/>
  <c r="B81" i="3"/>
  <c r="D81" i="3"/>
  <c r="L81" i="3" a="1"/>
  <c r="L81" i="3" s="1"/>
  <c r="F81" i="3"/>
  <c r="H81" i="3"/>
  <c r="V59" i="3"/>
  <c r="X59" i="3"/>
  <c r="Z59" i="3"/>
  <c r="AD59" i="3" a="1"/>
  <c r="AD59" i="3" s="1"/>
  <c r="B59" i="3"/>
  <c r="T81" i="3"/>
  <c r="L59" i="3" a="1"/>
  <c r="L59" i="3" s="1"/>
  <c r="V81" i="3"/>
  <c r="D59" i="3"/>
  <c r="X81" i="3"/>
  <c r="F59" i="3"/>
  <c r="Z81" i="3"/>
  <c r="AD81" i="3" a="1"/>
  <c r="AD81" i="3" s="1"/>
  <c r="H59" i="3"/>
  <c r="I90" i="4"/>
  <c r="J90" i="4"/>
  <c r="K90" i="4"/>
  <c r="L90" i="4"/>
  <c r="M90" i="4"/>
  <c r="A90" i="4"/>
  <c r="C90" i="4"/>
  <c r="D90" i="4"/>
  <c r="A67" i="4"/>
  <c r="C67" i="4"/>
  <c r="D67" i="4"/>
  <c r="E67" i="4"/>
  <c r="G67" i="4" a="1"/>
  <c r="G6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<sst xmlns="http://schemas.openxmlformats.org/spreadsheetml/2006/main" count="876" uniqueCount="82">
  <si>
    <t>ID</t>
  </si>
  <si>
    <t>Missing (0.02)</t>
  </si>
  <si>
    <t>Missing (0.002)</t>
  </si>
  <si>
    <t>No Missing (0.02)</t>
  </si>
  <si>
    <t>No Missing (0.002)</t>
  </si>
  <si>
    <t>CIN5</t>
  </si>
  <si>
    <t>GLN3</t>
  </si>
  <si>
    <t>HAP4</t>
  </si>
  <si>
    <t>HMO1</t>
  </si>
  <si>
    <t>MSN2</t>
  </si>
  <si>
    <t>SFP1</t>
  </si>
  <si>
    <t>SWI4</t>
  </si>
  <si>
    <t>YHP1</t>
  </si>
  <si>
    <t>YOX1</t>
  </si>
  <si>
    <t>Outputs</t>
  </si>
  <si>
    <t>Missing (0.02) - missing (0.002)</t>
  </si>
  <si>
    <t>No Missing (0.02) - no missing (0.002)</t>
  </si>
  <si>
    <t>Difference between alpha values</t>
  </si>
  <si>
    <t>Difference between missing and no missing</t>
  </si>
  <si>
    <t>Missing (0.02) - no missing (0.02)</t>
  </si>
  <si>
    <t>Missing (0.002) - no missing (0.002)</t>
  </si>
  <si>
    <t>Summary Stats</t>
  </si>
  <si>
    <t>Mean:</t>
  </si>
  <si>
    <t>Median:</t>
  </si>
  <si>
    <t>Min (abs):</t>
  </si>
  <si>
    <t>Max (abs):</t>
  </si>
  <si>
    <t>cols regulators/rows targets</t>
  </si>
  <si>
    <t>Output from Missing Values (alpha 0.002)</t>
  </si>
  <si>
    <t>Output from Missing Values (alpha 0.02)</t>
  </si>
  <si>
    <t>Output from No Missing Values (alpha (0.02)</t>
  </si>
  <si>
    <t>Output for No Missing Values (alpha 0.002)</t>
  </si>
  <si>
    <t>Difference for alpha 0.02 (no missing values - missing values)</t>
  </si>
  <si>
    <t>Difference for alpha 0.002 (no missing values - missing values)</t>
  </si>
  <si>
    <t>Mean</t>
  </si>
  <si>
    <t>Median</t>
  </si>
  <si>
    <t>Min (abs)</t>
  </si>
  <si>
    <t>Max (abs)</t>
  </si>
  <si>
    <t xml:space="preserve">Min </t>
  </si>
  <si>
    <t xml:space="preserve">Max </t>
  </si>
  <si>
    <t>Parameter Values</t>
  </si>
  <si>
    <t>LSE</t>
  </si>
  <si>
    <t>Penalty</t>
  </si>
  <si>
    <t>min LSE</t>
  </si>
  <si>
    <t>iteration count</t>
  </si>
  <si>
    <t>Gene</t>
  </si>
  <si>
    <t>wt MSE</t>
  </si>
  <si>
    <t>dcin5 MSE</t>
  </si>
  <si>
    <t>dgln3 MSE</t>
  </si>
  <si>
    <t>dhap4 MSE</t>
  </si>
  <si>
    <t>dhmo1 MSE</t>
  </si>
  <si>
    <t>Missing (0.02) Output</t>
  </si>
  <si>
    <t>Missing (0.002) Output</t>
  </si>
  <si>
    <t>No Missing (0.02) Output</t>
  </si>
  <si>
    <t>No Missing (0.002) Output</t>
  </si>
  <si>
    <t>Standard Dev</t>
  </si>
  <si>
    <t>GCR2</t>
  </si>
  <si>
    <t>MGA2</t>
  </si>
  <si>
    <t>RDS3</t>
  </si>
  <si>
    <t>STB5</t>
  </si>
  <si>
    <t>SWI5</t>
  </si>
  <si>
    <t>Difference for values with different alpha no missing (0.002 - 0.02)</t>
  </si>
  <si>
    <t>Difference for values with different alpha missing (0.002 - 0.02)</t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</si>
  <si>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0.002)</t>
    </r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</si>
  <si>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0.02)</t>
    </r>
  </si>
  <si>
    <t>Regulator</t>
  </si>
  <si>
    <t>Target</t>
  </si>
  <si>
    <t>w when α value = 0.002 (missing)</t>
  </si>
  <si>
    <t>w when α value = 0.002 (no missing)</t>
  </si>
  <si>
    <t>w when α value = 0.02 (missing)</t>
  </si>
  <si>
    <t>w when α value = 0.02 (no missing)</t>
  </si>
  <si>
    <t>Absolute difference (missing - no missing) α value = 0.002</t>
  </si>
  <si>
    <t>Absolute difference (missing - no missing) α value = 0.02</t>
  </si>
  <si>
    <t>α = 0.002</t>
  </si>
  <si>
    <t>α = 0.02</t>
  </si>
  <si>
    <t>weight</t>
  </si>
  <si>
    <t>alpha 0.002</t>
  </si>
  <si>
    <t>alpha 0.02</t>
  </si>
  <si>
    <t>average</t>
  </si>
  <si>
    <t>st dev</t>
  </si>
  <si>
    <t>AVERAGE</t>
  </si>
  <si>
    <t>SUM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</si>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</sst>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0"/>
    <numFmt numFmtId="170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9.6999999999999993"/>
      <color theme="1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1" fillId="0" borderId="0" xfId="1" applyFont="1"/>
    <xf numFmtId="0" fontId="5" fillId="0" borderId="0" xfId="0" applyFont="1"/>
    <xf numFmtId="0" fontId="0" fillId="0" borderId="0" xfId="1" applyFont="1"/>
    <xf numFmtId="0" fontId="5" fillId="0" borderId="0" xfId="1" applyFont="1"/>
    <xf numFmtId="0" fontId="2" fillId="0" borderId="0" xfId="0" applyFon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/>
    <xf numFmtId="11" fontId="0" fillId="0" borderId="0" xfId="0" applyNumberFormat="1"/>
    <xf numFmtId="0" fontId="9" fillId="0" borderId="6" xfId="0" applyFont="1" applyFill="1" applyBorder="1" applyAlignment="1">
      <alignment vertical="center" wrapText="1"/>
    </xf>
  </cellXfs>
  <cellStyles count="6">
    <cellStyle name="Normal" xfId="0" builtinId="0"/>
    <cellStyle name="Normal 2" xfId="2" xr:uid="{0D53CD1F-55E7-4A4C-92CF-627DA013722D}"/>
    <cellStyle name="Normal 2 2" xfId="5" xr:uid="{9E7B3620-90F8-4C1F-9FB8-5E70A0BB9D64}"/>
    <cellStyle name="Normal 3" xfId="3" xr:uid="{D911F80F-46A0-4717-A1F1-E88F851227FC}"/>
    <cellStyle name="Normal 4" xfId="4" xr:uid="{53AF9BA8-A272-47A6-9DA0-A77352B7457E}"/>
    <cellStyle name="Normal 5" xfId="1" xr:uid="{3A26F813-6178-4E1C-8A63-2F0F52AA5111}"/>
  </cellStyles>
  <dxfs count="28"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61B-8B5C-4FF2-8EA3-3372AD5C13CE}">
  <dimension ref="A1:J66"/>
  <sheetViews>
    <sheetView topLeftCell="A14" zoomScale="85" workbookViewId="0">
      <selection activeCell="F53" sqref="F53:G53"/>
    </sheetView>
  </sheetViews>
  <sheetFormatPr defaultRowHeight="14.4" x14ac:dyDescent="0.3"/>
  <cols>
    <col min="2" max="2" width="12.109375" bestFit="1" customWidth="1"/>
    <col min="3" max="3" width="13.21875" bestFit="1" customWidth="1"/>
    <col min="4" max="4" width="15.109375" bestFit="1" customWidth="1"/>
    <col min="5" max="5" width="16.109375" bestFit="1" customWidth="1"/>
    <col min="6" max="6" width="11" bestFit="1" customWidth="1"/>
    <col min="7" max="7" width="26.109375" bestFit="1" customWidth="1"/>
    <col min="8" max="8" width="31.6640625" bestFit="1" customWidth="1"/>
    <col min="9" max="9" width="37.88671875" bestFit="1" customWidth="1"/>
    <col min="10" max="10" width="29.77734375" bestFit="1" customWidth="1"/>
  </cols>
  <sheetData>
    <row r="1" spans="1:10" x14ac:dyDescent="0.3">
      <c r="A1" s="17" t="s">
        <v>14</v>
      </c>
      <c r="B1" s="18"/>
      <c r="C1" s="18"/>
      <c r="D1" s="18"/>
      <c r="E1" s="18"/>
      <c r="G1" s="17" t="s">
        <v>17</v>
      </c>
      <c r="H1" s="17"/>
      <c r="I1" s="17" t="s">
        <v>18</v>
      </c>
      <c r="J1" s="17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15</v>
      </c>
      <c r="H2" t="s">
        <v>16</v>
      </c>
      <c r="I2" t="s">
        <v>19</v>
      </c>
      <c r="J2" t="s">
        <v>20</v>
      </c>
    </row>
    <row r="3" spans="1:10" x14ac:dyDescent="0.3">
      <c r="A3" t="s">
        <v>5</v>
      </c>
      <c r="B3">
        <v>0.97582109908080839</v>
      </c>
      <c r="C3">
        <v>1.4312722896730807</v>
      </c>
      <c r="D3">
        <v>0.9419350553994531</v>
      </c>
      <c r="E3">
        <v>1.5956515761657253</v>
      </c>
      <c r="G3">
        <f>ABS(B3-C3)</f>
        <v>0.45545119059227235</v>
      </c>
      <c r="H3">
        <f>ABS(D3-E3)</f>
        <v>0.65371652076627218</v>
      </c>
      <c r="I3">
        <f>ABS(B3-D3)</f>
        <v>3.3886043681355282E-2</v>
      </c>
      <c r="J3">
        <f>ABS(C3-E3)</f>
        <v>0.16437928649264455</v>
      </c>
    </row>
    <row r="4" spans="1:10" x14ac:dyDescent="0.3">
      <c r="A4" t="s">
        <v>55</v>
      </c>
      <c r="B4">
        <v>0.24430238074519944</v>
      </c>
      <c r="C4">
        <v>0.22555016595617125</v>
      </c>
      <c r="D4">
        <v>0.24280920845424384</v>
      </c>
      <c r="E4">
        <v>0.22511629019568102</v>
      </c>
      <c r="G4">
        <f t="shared" ref="G4:G16" si="0">ABS(B4-C4)</f>
        <v>1.8752214789028193E-2</v>
      </c>
      <c r="H4">
        <f t="shared" ref="H4:H16" si="1">ABS(D4-E4)</f>
        <v>1.7692918258562812E-2</v>
      </c>
      <c r="I4">
        <f t="shared" ref="I4:I16" si="2">ABS(B4-D4)</f>
        <v>1.4931722909556078E-3</v>
      </c>
      <c r="J4">
        <f t="shared" ref="J4:J16" si="3">ABS(C4-E4)</f>
        <v>4.3387576049022658E-4</v>
      </c>
    </row>
    <row r="5" spans="1:10" x14ac:dyDescent="0.3">
      <c r="A5" t="s">
        <v>6</v>
      </c>
      <c r="B5">
        <v>0.34314544913912137</v>
      </c>
      <c r="C5">
        <v>0.41826062021181237</v>
      </c>
      <c r="D5">
        <v>0.34211005758394375</v>
      </c>
      <c r="E5">
        <v>0.41758938876100471</v>
      </c>
      <c r="G5">
        <f t="shared" si="0"/>
        <v>7.5115171072691E-2</v>
      </c>
      <c r="H5">
        <f t="shared" si="1"/>
        <v>7.547933117706096E-2</v>
      </c>
      <c r="I5">
        <f t="shared" si="2"/>
        <v>1.0353915551776227E-3</v>
      </c>
      <c r="J5">
        <f t="shared" si="3"/>
        <v>6.7123145080766333E-4</v>
      </c>
    </row>
    <row r="6" spans="1:10" x14ac:dyDescent="0.3">
      <c r="A6" t="s">
        <v>7</v>
      </c>
      <c r="B6">
        <v>0.69510194838364558</v>
      </c>
      <c r="C6">
        <v>1.1026744900253913</v>
      </c>
      <c r="D6">
        <v>0.69809182692141281</v>
      </c>
      <c r="E6">
        <v>1.0784253139839497</v>
      </c>
      <c r="G6">
        <f t="shared" si="0"/>
        <v>0.40757254164174572</v>
      </c>
      <c r="H6">
        <f t="shared" si="1"/>
        <v>0.38033348706253689</v>
      </c>
      <c r="I6">
        <f t="shared" si="2"/>
        <v>2.989878537767221E-3</v>
      </c>
      <c r="J6">
        <f t="shared" si="3"/>
        <v>2.4249176041441611E-2</v>
      </c>
    </row>
    <row r="7" spans="1:10" x14ac:dyDescent="0.3">
      <c r="A7" t="s">
        <v>8</v>
      </c>
      <c r="B7">
        <v>0.40258066690050975</v>
      </c>
      <c r="C7">
        <v>0.48470002693335185</v>
      </c>
      <c r="D7">
        <v>0.40227789512549339</v>
      </c>
      <c r="E7">
        <v>0.51121069369409156</v>
      </c>
      <c r="G7">
        <f t="shared" si="0"/>
        <v>8.2119360032842093E-2</v>
      </c>
      <c r="H7">
        <f t="shared" si="1"/>
        <v>0.10893279856859817</v>
      </c>
      <c r="I7">
        <f t="shared" si="2"/>
        <v>3.0277177501636388E-4</v>
      </c>
      <c r="J7">
        <f t="shared" si="3"/>
        <v>2.651066676073971E-2</v>
      </c>
    </row>
    <row r="8" spans="1:10" x14ac:dyDescent="0.3">
      <c r="A8" t="s">
        <v>56</v>
      </c>
      <c r="B8">
        <v>0.27327316797205664</v>
      </c>
      <c r="C8">
        <v>0.27251333953562112</v>
      </c>
      <c r="D8">
        <v>0.27328917605942271</v>
      </c>
      <c r="E8">
        <v>0.27248600633023473</v>
      </c>
      <c r="G8">
        <f t="shared" si="0"/>
        <v>7.5982843643551679E-4</v>
      </c>
      <c r="H8">
        <f t="shared" si="1"/>
        <v>8.0316972918798024E-4</v>
      </c>
      <c r="I8">
        <f t="shared" si="2"/>
        <v>1.6008087366070622E-5</v>
      </c>
      <c r="J8">
        <f t="shared" si="3"/>
        <v>2.7333205386392834E-5</v>
      </c>
    </row>
    <row r="9" spans="1:10" x14ac:dyDescent="0.3">
      <c r="A9" t="s">
        <v>9</v>
      </c>
      <c r="B9" s="5">
        <v>1.6909172275728008</v>
      </c>
      <c r="C9">
        <v>2.3112131450815667</v>
      </c>
      <c r="D9" s="5">
        <v>1.6108465394731659</v>
      </c>
      <c r="E9">
        <v>2.1532646739733017</v>
      </c>
      <c r="G9">
        <f t="shared" si="0"/>
        <v>0.62029591750876589</v>
      </c>
      <c r="H9">
        <f t="shared" si="1"/>
        <v>0.54241813450013576</v>
      </c>
      <c r="I9">
        <f t="shared" si="2"/>
        <v>8.0070688099634912E-2</v>
      </c>
      <c r="J9">
        <f t="shared" si="3"/>
        <v>0.15794847110826504</v>
      </c>
    </row>
    <row r="10" spans="1:10" x14ac:dyDescent="0.3">
      <c r="A10" t="s">
        <v>57</v>
      </c>
      <c r="B10">
        <v>0.21215693767063912</v>
      </c>
      <c r="C10">
        <v>0.29682814877629377</v>
      </c>
      <c r="D10">
        <v>0.21190339812937228</v>
      </c>
      <c r="E10">
        <v>0.29582851631362134</v>
      </c>
      <c r="G10">
        <f t="shared" si="0"/>
        <v>8.4671211105654648E-2</v>
      </c>
      <c r="H10">
        <f t="shared" si="1"/>
        <v>8.3925118184249053E-2</v>
      </c>
      <c r="I10">
        <f t="shared" si="2"/>
        <v>2.5353954126683398E-4</v>
      </c>
      <c r="J10">
        <f t="shared" si="3"/>
        <v>9.9963246267242845E-4</v>
      </c>
    </row>
    <row r="11" spans="1:10" x14ac:dyDescent="0.3">
      <c r="A11" t="s">
        <v>10</v>
      </c>
      <c r="B11">
        <v>0.91591416428504113</v>
      </c>
      <c r="C11">
        <v>0.92945240457557943</v>
      </c>
      <c r="D11">
        <v>0.92516632233495155</v>
      </c>
      <c r="E11">
        <v>1.4091173243002335</v>
      </c>
      <c r="G11">
        <f t="shared" si="0"/>
        <v>1.3538240290538295E-2</v>
      </c>
      <c r="H11">
        <f t="shared" si="1"/>
        <v>0.48395100196528196</v>
      </c>
      <c r="I11">
        <f t="shared" si="2"/>
        <v>9.2521580499104195E-3</v>
      </c>
      <c r="J11">
        <f t="shared" si="3"/>
        <v>0.47966491972465408</v>
      </c>
    </row>
    <row r="12" spans="1:10" x14ac:dyDescent="0.3">
      <c r="A12" t="s">
        <v>58</v>
      </c>
      <c r="B12">
        <v>0.2496655284526694</v>
      </c>
      <c r="C12">
        <v>0.34083117258280726</v>
      </c>
      <c r="D12">
        <v>0.25786943149016162</v>
      </c>
      <c r="E12">
        <v>0.60607808055488532</v>
      </c>
      <c r="G12">
        <f t="shared" si="0"/>
        <v>9.1165644130137863E-2</v>
      </c>
      <c r="H12">
        <f t="shared" si="1"/>
        <v>0.34820864906472371</v>
      </c>
      <c r="I12">
        <f t="shared" si="2"/>
        <v>8.2039030374922162E-3</v>
      </c>
      <c r="J12">
        <f t="shared" si="3"/>
        <v>0.26524690797207806</v>
      </c>
    </row>
    <row r="13" spans="1:10" x14ac:dyDescent="0.3">
      <c r="A13" t="s">
        <v>11</v>
      </c>
      <c r="B13">
        <v>0.66698982878637714</v>
      </c>
      <c r="C13">
        <v>0.30932086051963237</v>
      </c>
      <c r="D13">
        <v>0.65756347151143002</v>
      </c>
      <c r="E13">
        <v>0.33533580577890137</v>
      </c>
      <c r="G13">
        <f t="shared" si="0"/>
        <v>0.35766896826674477</v>
      </c>
      <c r="H13">
        <f t="shared" si="1"/>
        <v>0.32222766573252865</v>
      </c>
      <c r="I13">
        <f t="shared" si="2"/>
        <v>9.4263572749471169E-3</v>
      </c>
      <c r="J13">
        <f t="shared" si="3"/>
        <v>2.6014945259269007E-2</v>
      </c>
    </row>
    <row r="14" spans="1:10" x14ac:dyDescent="0.3">
      <c r="A14" t="s">
        <v>59</v>
      </c>
      <c r="B14">
        <v>0.22158328320403392</v>
      </c>
      <c r="C14" s="5">
        <v>0.25314659460281358</v>
      </c>
      <c r="D14">
        <v>0.22124825754442715</v>
      </c>
      <c r="E14" s="5">
        <v>1.1526217759216184</v>
      </c>
      <c r="G14">
        <f t="shared" si="0"/>
        <v>3.1563311398779659E-2</v>
      </c>
      <c r="H14">
        <f t="shared" si="1"/>
        <v>0.93137351837719129</v>
      </c>
      <c r="I14">
        <f t="shared" si="2"/>
        <v>3.3502565960677466E-4</v>
      </c>
      <c r="J14">
        <f t="shared" si="3"/>
        <v>0.89947518131880488</v>
      </c>
    </row>
    <row r="15" spans="1:10" x14ac:dyDescent="0.3">
      <c r="A15" t="s">
        <v>12</v>
      </c>
      <c r="B15">
        <v>0.40117357788282426</v>
      </c>
      <c r="C15" s="5">
        <v>1.8747510132351231</v>
      </c>
      <c r="D15">
        <v>0.37983099368237511</v>
      </c>
      <c r="E15" s="5">
        <v>1.877663610221544</v>
      </c>
      <c r="G15">
        <f t="shared" si="0"/>
        <v>1.4735774353522988</v>
      </c>
      <c r="H15">
        <f t="shared" si="1"/>
        <v>1.4978326165391689</v>
      </c>
      <c r="I15">
        <f t="shared" si="2"/>
        <v>2.1342584200449155E-2</v>
      </c>
      <c r="J15">
        <f t="shared" si="3"/>
        <v>2.91259698642099E-3</v>
      </c>
    </row>
    <row r="16" spans="1:10" x14ac:dyDescent="0.3">
      <c r="A16" t="s">
        <v>13</v>
      </c>
      <c r="B16">
        <v>0.8692323728199961</v>
      </c>
      <c r="C16">
        <v>1.4887270862159356</v>
      </c>
      <c r="D16">
        <v>0.82236126526826414</v>
      </c>
      <c r="E16">
        <v>1.3766329365906202</v>
      </c>
      <c r="G16">
        <f t="shared" si="0"/>
        <v>0.61949471339593953</v>
      </c>
      <c r="H16">
        <f t="shared" si="1"/>
        <v>0.55427167132235611</v>
      </c>
      <c r="I16">
        <f t="shared" si="2"/>
        <v>4.6871107551731961E-2</v>
      </c>
      <c r="J16">
        <f t="shared" si="3"/>
        <v>0.11209414962531539</v>
      </c>
    </row>
    <row r="17" spans="1:10" x14ac:dyDescent="0.3">
      <c r="B17" s="3"/>
      <c r="D17" s="3"/>
      <c r="E17" s="3"/>
    </row>
    <row r="18" spans="1:10" x14ac:dyDescent="0.3">
      <c r="B18" s="3"/>
      <c r="D18" s="3"/>
      <c r="E18" s="3"/>
    </row>
    <row r="19" spans="1:10" x14ac:dyDescent="0.3">
      <c r="G19" s="17" t="s">
        <v>21</v>
      </c>
      <c r="H19" s="17"/>
      <c r="I19" s="17" t="s">
        <v>21</v>
      </c>
      <c r="J19" s="18"/>
    </row>
    <row r="20" spans="1:10" x14ac:dyDescent="0.3">
      <c r="F20" t="s">
        <v>22</v>
      </c>
      <c r="G20">
        <f>AVERAGE(G3:G16)</f>
        <v>0.30941041057241964</v>
      </c>
      <c r="H20">
        <f>AVERAGE(H3:H16)</f>
        <v>0.42865475723198954</v>
      </c>
      <c r="I20" s="6">
        <f>AVERAGE(I3:I16)</f>
        <v>1.5391330667334112E-2</v>
      </c>
      <c r="J20" s="6">
        <f>AVERAGE(J3:J16)</f>
        <v>0.15433059815492786</v>
      </c>
    </row>
    <row r="21" spans="1:10" x14ac:dyDescent="0.3">
      <c r="F21" t="s">
        <v>23</v>
      </c>
      <c r="G21">
        <f>MEDIAN(G3:G16)</f>
        <v>8.7918427617896255E-2</v>
      </c>
      <c r="H21">
        <f>MEDIAN(H3:H16)</f>
        <v>0.3642710680636303</v>
      </c>
      <c r="I21">
        <f>MEDIAN(I3:I16)</f>
        <v>5.5968907876297186E-3</v>
      </c>
      <c r="J21">
        <f>MEDIAN(J3:J16)</f>
        <v>2.6262806010004358E-2</v>
      </c>
    </row>
    <row r="22" spans="1:10" x14ac:dyDescent="0.3">
      <c r="F22" t="s">
        <v>24</v>
      </c>
      <c r="G22" cm="1">
        <f t="array" ref="G22">MIN(IF(G3:G18&lt;&gt;0,ABS(G3:G18)))</f>
        <v>7.5982843643551679E-4</v>
      </c>
      <c r="H22" cm="1">
        <f t="array" ref="H22">MIN(IF(H3:H18&lt;&gt;0,ABS(H3:H18)))</f>
        <v>8.0316972918798024E-4</v>
      </c>
      <c r="I22" cm="1">
        <f t="array" ref="I22">MIN(IF(I3:I18&lt;&gt;0,ABS(I3:I18)))</f>
        <v>1.6008087366070622E-5</v>
      </c>
      <c r="J22" cm="1">
        <f t="array" ref="J22">MIN(IF(J3:J18&lt;&gt;0,ABS(J3:J18)))</f>
        <v>2.7333205386392834E-5</v>
      </c>
    </row>
    <row r="23" spans="1:10" x14ac:dyDescent="0.3">
      <c r="F23" t="s">
        <v>25</v>
      </c>
      <c r="G23" cm="1">
        <f t="array" ref="G23">MAX(ABS((G3:G16)))</f>
        <v>1.4735774353522988</v>
      </c>
      <c r="H23" cm="1">
        <f t="array" ref="H23">MAX(ABS((H3:H16)))</f>
        <v>1.4978326165391689</v>
      </c>
      <c r="I23" cm="1">
        <f t="array" ref="I23">MAX(ABS((I3:I16)))</f>
        <v>8.0070688099634912E-2</v>
      </c>
      <c r="J23" cm="1">
        <f t="array" ref="J23">MAX(ABS((J3:J16)))</f>
        <v>0.89947518131880488</v>
      </c>
    </row>
    <row r="27" spans="1:10" x14ac:dyDescent="0.3">
      <c r="A27" t="s">
        <v>0</v>
      </c>
      <c r="B27" t="s">
        <v>2</v>
      </c>
      <c r="C27" t="s">
        <v>4</v>
      </c>
      <c r="D27" t="s">
        <v>1</v>
      </c>
      <c r="E27" t="s">
        <v>3</v>
      </c>
      <c r="F27" t="s">
        <v>62</v>
      </c>
      <c r="G27" t="s">
        <v>63</v>
      </c>
    </row>
    <row r="28" spans="1:10" x14ac:dyDescent="0.3">
      <c r="A28" t="s">
        <v>5</v>
      </c>
      <c r="B28" s="8">
        <v>1.4312722896730807</v>
      </c>
      <c r="C28" s="8">
        <v>1.5956515761657253</v>
      </c>
      <c r="D28" s="8">
        <v>0.97582109908080839</v>
      </c>
      <c r="E28" s="8">
        <v>0.9419350553994531</v>
      </c>
      <c r="F28" s="8">
        <f>(B28-C28)^2</f>
        <v>2.7020549827830916E-2</v>
      </c>
      <c r="G28" s="7">
        <f>(D28-E28)^2</f>
        <v>1.1482639563747182E-3</v>
      </c>
    </row>
    <row r="29" spans="1:10" x14ac:dyDescent="0.3">
      <c r="A29" t="s">
        <v>55</v>
      </c>
      <c r="B29" s="8">
        <v>0.22555016595617125</v>
      </c>
      <c r="C29" s="8">
        <v>0.22511629019568102</v>
      </c>
      <c r="D29" s="8">
        <v>0.24430238074519944</v>
      </c>
      <c r="E29" s="8">
        <v>0.24280920845424384</v>
      </c>
      <c r="F29" s="7">
        <f t="shared" ref="F29:F41" si="4">(B29-C29)^2</f>
        <v>1.8824817554097247E-7</v>
      </c>
      <c r="G29" s="7">
        <f t="shared" ref="G29:G41" si="5">(D29-E29)^2</f>
        <v>2.2295634904776183E-6</v>
      </c>
    </row>
    <row r="30" spans="1:10" x14ac:dyDescent="0.3">
      <c r="A30" t="s">
        <v>6</v>
      </c>
      <c r="B30" s="8">
        <v>0.41826062021181237</v>
      </c>
      <c r="C30" s="8">
        <v>0.41758938876100471</v>
      </c>
      <c r="D30" s="8">
        <v>0.34314544913912137</v>
      </c>
      <c r="E30" s="8">
        <v>0.34211005758394375</v>
      </c>
      <c r="F30" s="7">
        <f t="shared" si="4"/>
        <v>4.5055166055336054E-7</v>
      </c>
      <c r="G30" s="7">
        <f t="shared" si="5"/>
        <v>1.0720356725331362E-6</v>
      </c>
    </row>
    <row r="31" spans="1:10" x14ac:dyDescent="0.3">
      <c r="A31" t="s">
        <v>7</v>
      </c>
      <c r="B31" s="8">
        <v>1.1026744900253913</v>
      </c>
      <c r="C31" s="8">
        <v>1.0784253139839497</v>
      </c>
      <c r="D31" s="8">
        <v>0.69510194838364558</v>
      </c>
      <c r="E31" s="8">
        <v>0.69809182692141281</v>
      </c>
      <c r="F31" s="7">
        <f t="shared" si="4"/>
        <v>5.8802253868882586E-4</v>
      </c>
      <c r="G31" s="7">
        <f t="shared" si="5"/>
        <v>8.9393736706010553E-6</v>
      </c>
    </row>
    <row r="32" spans="1:10" x14ac:dyDescent="0.3">
      <c r="A32" t="s">
        <v>8</v>
      </c>
      <c r="B32" s="8">
        <v>0.48470002693335185</v>
      </c>
      <c r="C32" s="8">
        <v>0.51121069369409156</v>
      </c>
      <c r="D32" s="8">
        <v>0.40258066690050975</v>
      </c>
      <c r="E32" s="8">
        <v>0.40227789512549339</v>
      </c>
      <c r="F32" s="7">
        <f t="shared" si="4"/>
        <v>7.0281545209898929E-4</v>
      </c>
      <c r="G32" s="7">
        <f t="shared" si="5"/>
        <v>9.1670747746559669E-8</v>
      </c>
    </row>
    <row r="33" spans="1:7" x14ac:dyDescent="0.3">
      <c r="A33" t="s">
        <v>56</v>
      </c>
      <c r="B33" s="8">
        <v>0.27251333953562112</v>
      </c>
      <c r="C33" s="8">
        <v>0.27248600633023473</v>
      </c>
      <c r="D33" s="8">
        <v>0.27327316797205664</v>
      </c>
      <c r="E33" s="8">
        <v>0.27328917605942271</v>
      </c>
      <c r="F33" s="7">
        <f t="shared" si="4"/>
        <v>7.4710411669473422E-10</v>
      </c>
      <c r="G33" s="7">
        <f t="shared" si="5"/>
        <v>2.5625886111974989E-10</v>
      </c>
    </row>
    <row r="34" spans="1:7" x14ac:dyDescent="0.3">
      <c r="A34" t="s">
        <v>9</v>
      </c>
      <c r="B34" s="8">
        <v>2.3112131450815667</v>
      </c>
      <c r="C34" s="8">
        <v>2.1532646739733017</v>
      </c>
      <c r="D34" s="8">
        <v>1.6909172275728008</v>
      </c>
      <c r="E34" s="8">
        <v>1.6108465394731659</v>
      </c>
      <c r="F34" s="8">
        <f t="shared" si="4"/>
        <v>2.4947719525438436E-2</v>
      </c>
      <c r="G34" s="7">
        <f t="shared" si="5"/>
        <v>6.4113150927490158E-3</v>
      </c>
    </row>
    <row r="35" spans="1:7" x14ac:dyDescent="0.3">
      <c r="A35" t="s">
        <v>57</v>
      </c>
      <c r="B35" s="8">
        <v>0.29682814877629377</v>
      </c>
      <c r="C35" s="8">
        <v>0.29582851631362134</v>
      </c>
      <c r="D35" s="8">
        <v>0.21215693767063912</v>
      </c>
      <c r="E35" s="8">
        <v>0.21190339812937228</v>
      </c>
      <c r="F35" s="7">
        <f t="shared" si="4"/>
        <v>9.9926506042854404E-7</v>
      </c>
      <c r="G35" s="7">
        <f t="shared" si="5"/>
        <v>6.4282298985796613E-8</v>
      </c>
    </row>
    <row r="36" spans="1:7" x14ac:dyDescent="0.3">
      <c r="A36" t="s">
        <v>10</v>
      </c>
      <c r="B36" s="8">
        <v>0.92945240457557943</v>
      </c>
      <c r="C36" s="8">
        <v>1.4091173243002335</v>
      </c>
      <c r="D36" s="8">
        <v>0.91591416428504113</v>
      </c>
      <c r="E36" s="8">
        <v>0.92516632233495155</v>
      </c>
      <c r="F36" s="8">
        <f t="shared" si="4"/>
        <v>0.23007843521445884</v>
      </c>
      <c r="G36" s="7">
        <f t="shared" si="5"/>
        <v>8.5602428580522171E-5</v>
      </c>
    </row>
    <row r="37" spans="1:7" x14ac:dyDescent="0.3">
      <c r="A37" t="s">
        <v>58</v>
      </c>
      <c r="B37" s="8">
        <v>0.34083117258280726</v>
      </c>
      <c r="C37" s="8">
        <v>0.60607808055488532</v>
      </c>
      <c r="D37" s="8">
        <v>0.2496655284526694</v>
      </c>
      <c r="E37" s="8">
        <v>0.25786943149016162</v>
      </c>
      <c r="F37" s="8">
        <f t="shared" si="4"/>
        <v>7.0355922188748046E-2</v>
      </c>
      <c r="G37" s="7">
        <f t="shared" si="5"/>
        <v>6.7304025048574005E-5</v>
      </c>
    </row>
    <row r="38" spans="1:7" x14ac:dyDescent="0.3">
      <c r="A38" t="s">
        <v>11</v>
      </c>
      <c r="B38" s="8">
        <v>0.30932086051963237</v>
      </c>
      <c r="C38" s="8">
        <v>0.33533580577890137</v>
      </c>
      <c r="D38" s="8">
        <v>0.66698982878637714</v>
      </c>
      <c r="E38" s="8">
        <v>0.65756347151143002</v>
      </c>
      <c r="F38" s="7">
        <f t="shared" si="4"/>
        <v>6.7677737684276298E-4</v>
      </c>
      <c r="G38" s="7">
        <f t="shared" si="5"/>
        <v>8.8856211474948438E-5</v>
      </c>
    </row>
    <row r="39" spans="1:7" x14ac:dyDescent="0.3">
      <c r="A39" t="s">
        <v>59</v>
      </c>
      <c r="B39" s="8">
        <v>0.25314659460281358</v>
      </c>
      <c r="C39" s="8">
        <v>1.1526217759216184</v>
      </c>
      <c r="D39" s="8">
        <v>0.22158328320403392</v>
      </c>
      <c r="E39" s="8">
        <v>0.22124825754442715</v>
      </c>
      <c r="F39" s="8">
        <f t="shared" si="4"/>
        <v>0.80905560180849689</v>
      </c>
      <c r="G39" s="7">
        <f t="shared" si="5"/>
        <v>1.1224219259495445E-7</v>
      </c>
    </row>
    <row r="40" spans="1:7" x14ac:dyDescent="0.3">
      <c r="A40" t="s">
        <v>12</v>
      </c>
      <c r="B40" s="8">
        <v>1.8747510132351231</v>
      </c>
      <c r="C40" s="8">
        <v>1.877663610221544</v>
      </c>
      <c r="D40" s="8">
        <v>0.40117357788282426</v>
      </c>
      <c r="E40" s="8">
        <v>0.37983099368237511</v>
      </c>
      <c r="F40" s="7">
        <f t="shared" si="4"/>
        <v>8.4832212053086326E-6</v>
      </c>
      <c r="G40" s="7">
        <f t="shared" si="5"/>
        <v>4.5550590035326187E-4</v>
      </c>
    </row>
    <row r="41" spans="1:7" x14ac:dyDescent="0.3">
      <c r="A41" t="s">
        <v>13</v>
      </c>
      <c r="B41" s="8">
        <v>1.4887270862159356</v>
      </c>
      <c r="C41" s="8">
        <v>1.3766329365906202</v>
      </c>
      <c r="D41" s="8">
        <v>0.8692323728199961</v>
      </c>
      <c r="E41" s="8">
        <v>0.82236126526826414</v>
      </c>
      <c r="F41" s="8">
        <f t="shared" si="4"/>
        <v>1.2565098380222593E-2</v>
      </c>
      <c r="G41" s="7">
        <f t="shared" si="5"/>
        <v>2.1969007231260247E-3</v>
      </c>
    </row>
    <row r="42" spans="1:7" x14ac:dyDescent="0.3">
      <c r="F42" s="7"/>
      <c r="G42" s="7"/>
    </row>
    <row r="43" spans="1:7" x14ac:dyDescent="0.3">
      <c r="F43" s="8">
        <f>AVERAGE(F28:F41)</f>
        <v>8.4000076024716583E-2</v>
      </c>
      <c r="G43" s="8">
        <f>AVERAGE(G28:G41)</f>
        <v>7.4758984014563319E-4</v>
      </c>
    </row>
    <row r="44" spans="1:7" x14ac:dyDescent="0.3">
      <c r="F44" s="8">
        <f>SUM(F28:F41)</f>
        <v>1.1760010643460321</v>
      </c>
      <c r="G44" s="8">
        <f>SUM(G28:G41)</f>
        <v>1.0466257762038864E-2</v>
      </c>
    </row>
    <row r="45" spans="1:7" x14ac:dyDescent="0.3">
      <c r="F45">
        <f>STDEV(F28:F41)</f>
        <v>0.21753594017575867</v>
      </c>
      <c r="G45">
        <f>STDEV(G28:G41)</f>
        <v>1.7464843999157318E-3</v>
      </c>
    </row>
    <row r="52" spans="1:7" x14ac:dyDescent="0.3">
      <c r="A52" t="s">
        <v>0</v>
      </c>
      <c r="B52" t="s">
        <v>2</v>
      </c>
      <c r="C52" t="s">
        <v>4</v>
      </c>
      <c r="D52" t="s">
        <v>1</v>
      </c>
      <c r="E52" t="s">
        <v>3</v>
      </c>
    </row>
    <row r="53" spans="1:7" x14ac:dyDescent="0.3">
      <c r="A53" t="s">
        <v>5</v>
      </c>
      <c r="B53" s="8">
        <v>1.4312722896730807</v>
      </c>
      <c r="C53" s="8">
        <v>1.5956515761657253</v>
      </c>
      <c r="D53" s="8">
        <v>0.97582109908080839</v>
      </c>
      <c r="E53" s="8">
        <v>0.9419350553994531</v>
      </c>
      <c r="F53">
        <f>ABS(B53-C53)</f>
        <v>0.16437928649264455</v>
      </c>
      <c r="G53">
        <f>ABS(D53-E53)</f>
        <v>3.3886043681355282E-2</v>
      </c>
    </row>
    <row r="54" spans="1:7" x14ac:dyDescent="0.3">
      <c r="A54" t="s">
        <v>55</v>
      </c>
      <c r="B54" s="8">
        <v>0.22555016595617125</v>
      </c>
      <c r="C54" s="8">
        <v>0.22511629019568102</v>
      </c>
      <c r="D54" s="8">
        <v>0.24430238074519944</v>
      </c>
      <c r="E54" s="8">
        <v>0.24280920845424384</v>
      </c>
      <c r="F54">
        <f t="shared" ref="F54:F66" si="6">ABS(B54-C54)</f>
        <v>4.3387576049022658E-4</v>
      </c>
      <c r="G54">
        <f t="shared" ref="G54:G66" si="7">ABS(D54-E54)</f>
        <v>1.4931722909556078E-3</v>
      </c>
    </row>
    <row r="55" spans="1:7" x14ac:dyDescent="0.3">
      <c r="A55" t="s">
        <v>6</v>
      </c>
      <c r="B55" s="8">
        <v>0.41826062021181237</v>
      </c>
      <c r="C55" s="8">
        <v>0.41758938876100471</v>
      </c>
      <c r="D55" s="8">
        <v>0.34314544913912137</v>
      </c>
      <c r="E55" s="8">
        <v>0.34211005758394375</v>
      </c>
      <c r="F55">
        <f t="shared" si="6"/>
        <v>6.7123145080766333E-4</v>
      </c>
      <c r="G55">
        <f t="shared" si="7"/>
        <v>1.0353915551776227E-3</v>
      </c>
    </row>
    <row r="56" spans="1:7" x14ac:dyDescent="0.3">
      <c r="A56" t="s">
        <v>7</v>
      </c>
      <c r="B56" s="8">
        <v>1.1026744900253913</v>
      </c>
      <c r="C56" s="8">
        <v>1.0784253139839497</v>
      </c>
      <c r="D56" s="8">
        <v>0.69510194838364558</v>
      </c>
      <c r="E56" s="8">
        <v>0.69809182692141281</v>
      </c>
      <c r="F56">
        <f t="shared" si="6"/>
        <v>2.4249176041441611E-2</v>
      </c>
      <c r="G56">
        <f t="shared" si="7"/>
        <v>2.989878537767221E-3</v>
      </c>
    </row>
    <row r="57" spans="1:7" x14ac:dyDescent="0.3">
      <c r="A57" t="s">
        <v>8</v>
      </c>
      <c r="B57" s="8">
        <v>0.48470002693335185</v>
      </c>
      <c r="C57" s="8">
        <v>0.51121069369409156</v>
      </c>
      <c r="D57" s="8">
        <v>0.40258066690050975</v>
      </c>
      <c r="E57" s="8">
        <v>0.40227789512549339</v>
      </c>
      <c r="F57">
        <f t="shared" si="6"/>
        <v>2.651066676073971E-2</v>
      </c>
      <c r="G57">
        <f t="shared" si="7"/>
        <v>3.0277177501636388E-4</v>
      </c>
    </row>
    <row r="58" spans="1:7" x14ac:dyDescent="0.3">
      <c r="A58" t="s">
        <v>56</v>
      </c>
      <c r="B58" s="8">
        <v>0.27251333953562112</v>
      </c>
      <c r="C58" s="8">
        <v>0.27248600633023473</v>
      </c>
      <c r="D58" s="8">
        <v>0.27327316797205664</v>
      </c>
      <c r="E58" s="8">
        <v>0.27328917605942271</v>
      </c>
      <c r="F58">
        <f t="shared" si="6"/>
        <v>2.7333205386392834E-5</v>
      </c>
      <c r="G58">
        <f t="shared" si="7"/>
        <v>1.6008087366070622E-5</v>
      </c>
    </row>
    <row r="59" spans="1:7" x14ac:dyDescent="0.3">
      <c r="A59" t="s">
        <v>9</v>
      </c>
      <c r="B59" s="8">
        <v>2.3112131450815667</v>
      </c>
      <c r="C59" s="8">
        <v>2.1532646739733017</v>
      </c>
      <c r="D59" s="8">
        <v>1.6909172275728008</v>
      </c>
      <c r="E59" s="8">
        <v>1.6108465394731659</v>
      </c>
      <c r="F59">
        <f t="shared" si="6"/>
        <v>0.15794847110826504</v>
      </c>
      <c r="G59">
        <f t="shared" si="7"/>
        <v>8.0070688099634912E-2</v>
      </c>
    </row>
    <row r="60" spans="1:7" x14ac:dyDescent="0.3">
      <c r="A60" t="s">
        <v>57</v>
      </c>
      <c r="B60" s="8">
        <v>0.29682814877629377</v>
      </c>
      <c r="C60" s="8">
        <v>0.29582851631362134</v>
      </c>
      <c r="D60" s="8">
        <v>0.21215693767063912</v>
      </c>
      <c r="E60" s="8">
        <v>0.21190339812937228</v>
      </c>
      <c r="F60">
        <f t="shared" si="6"/>
        <v>9.9963246267242845E-4</v>
      </c>
      <c r="G60">
        <f t="shared" si="7"/>
        <v>2.5353954126683398E-4</v>
      </c>
    </row>
    <row r="61" spans="1:7" x14ac:dyDescent="0.3">
      <c r="A61" t="s">
        <v>10</v>
      </c>
      <c r="B61" s="8">
        <v>0.92945240457557943</v>
      </c>
      <c r="C61" s="8">
        <v>1.4091173243002335</v>
      </c>
      <c r="D61" s="8">
        <v>0.91591416428504113</v>
      </c>
      <c r="E61" s="8">
        <v>0.92516632233495155</v>
      </c>
      <c r="F61">
        <f t="shared" si="6"/>
        <v>0.47966491972465408</v>
      </c>
      <c r="G61">
        <f t="shared" si="7"/>
        <v>9.2521580499104195E-3</v>
      </c>
    </row>
    <row r="62" spans="1:7" x14ac:dyDescent="0.3">
      <c r="A62" t="s">
        <v>58</v>
      </c>
      <c r="B62" s="8">
        <v>0.34083117258280726</v>
      </c>
      <c r="C62" s="8">
        <v>0.60607808055488532</v>
      </c>
      <c r="D62" s="8">
        <v>0.2496655284526694</v>
      </c>
      <c r="E62" s="8">
        <v>0.25786943149016162</v>
      </c>
      <c r="F62">
        <f t="shared" si="6"/>
        <v>0.26524690797207806</v>
      </c>
      <c r="G62">
        <f t="shared" si="7"/>
        <v>8.2039030374922162E-3</v>
      </c>
    </row>
    <row r="63" spans="1:7" x14ac:dyDescent="0.3">
      <c r="A63" t="s">
        <v>11</v>
      </c>
      <c r="B63" s="8">
        <v>0.30932086051963237</v>
      </c>
      <c r="C63" s="8">
        <v>0.33533580577890137</v>
      </c>
      <c r="D63" s="8">
        <v>0.66698982878637714</v>
      </c>
      <c r="E63" s="8">
        <v>0.65756347151143002</v>
      </c>
      <c r="F63">
        <f t="shared" si="6"/>
        <v>2.6014945259269007E-2</v>
      </c>
      <c r="G63">
        <f t="shared" si="7"/>
        <v>9.4263572749471169E-3</v>
      </c>
    </row>
    <row r="64" spans="1:7" x14ac:dyDescent="0.3">
      <c r="A64" t="s">
        <v>59</v>
      </c>
      <c r="B64" s="8">
        <v>0.25314659460281358</v>
      </c>
      <c r="C64" s="8">
        <v>1.1526217759216184</v>
      </c>
      <c r="D64" s="8">
        <v>0.22158328320403392</v>
      </c>
      <c r="E64" s="8">
        <v>0.22124825754442715</v>
      </c>
      <c r="F64">
        <f t="shared" si="6"/>
        <v>0.89947518131880488</v>
      </c>
      <c r="G64">
        <f t="shared" si="7"/>
        <v>3.3502565960677466E-4</v>
      </c>
    </row>
    <row r="65" spans="1:7" x14ac:dyDescent="0.3">
      <c r="A65" t="s">
        <v>12</v>
      </c>
      <c r="B65" s="8">
        <v>1.8747510132351231</v>
      </c>
      <c r="C65" s="8">
        <v>1.877663610221544</v>
      </c>
      <c r="D65" s="8">
        <v>0.40117357788282426</v>
      </c>
      <c r="E65" s="8">
        <v>0.37983099368237511</v>
      </c>
      <c r="F65">
        <f t="shared" si="6"/>
        <v>2.91259698642099E-3</v>
      </c>
      <c r="G65">
        <f t="shared" si="7"/>
        <v>2.1342584200449155E-2</v>
      </c>
    </row>
    <row r="66" spans="1:7" x14ac:dyDescent="0.3">
      <c r="A66" t="s">
        <v>13</v>
      </c>
      <c r="B66" s="8">
        <v>1.4887270862159356</v>
      </c>
      <c r="C66" s="8">
        <v>1.3766329365906202</v>
      </c>
      <c r="D66" s="8">
        <v>0.8692323728199961</v>
      </c>
      <c r="E66" s="8">
        <v>0.82236126526826414</v>
      </c>
      <c r="F66">
        <f t="shared" si="6"/>
        <v>0.11209414962531539</v>
      </c>
      <c r="G66">
        <f t="shared" si="7"/>
        <v>4.6871107551731961E-2</v>
      </c>
    </row>
  </sheetData>
  <mergeCells count="5">
    <mergeCell ref="A1:E1"/>
    <mergeCell ref="G1:H1"/>
    <mergeCell ref="I1:J1"/>
    <mergeCell ref="G19:H19"/>
    <mergeCell ref="I19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5C8-F865-4E7B-9150-88C9C8EE00B2}">
  <dimension ref="A1:J67"/>
  <sheetViews>
    <sheetView topLeftCell="A13" workbookViewId="0">
      <selection activeCell="G68" sqref="G68"/>
    </sheetView>
  </sheetViews>
  <sheetFormatPr defaultRowHeight="14.4" x14ac:dyDescent="0.3"/>
  <cols>
    <col min="1" max="1" width="6.21875" bestFit="1" customWidth="1"/>
    <col min="2" max="2" width="12.109375" bestFit="1" customWidth="1"/>
    <col min="3" max="3" width="13.21875" bestFit="1" customWidth="1"/>
    <col min="4" max="4" width="15.109375" bestFit="1" customWidth="1"/>
    <col min="5" max="5" width="16.109375" bestFit="1" customWidth="1"/>
    <col min="6" max="6" width="11" bestFit="1" customWidth="1"/>
    <col min="7" max="7" width="26.109375" bestFit="1" customWidth="1"/>
    <col min="8" max="8" width="31.6640625" bestFit="1" customWidth="1"/>
    <col min="9" max="9" width="27.6640625" bestFit="1" customWidth="1"/>
    <col min="10" max="10" width="29.77734375" bestFit="1" customWidth="1"/>
  </cols>
  <sheetData>
    <row r="1" spans="1:10" x14ac:dyDescent="0.3">
      <c r="A1" s="17" t="s">
        <v>14</v>
      </c>
      <c r="B1" s="18"/>
      <c r="C1" s="18"/>
      <c r="D1" s="18"/>
      <c r="E1" s="18"/>
      <c r="G1" s="17" t="s">
        <v>17</v>
      </c>
      <c r="H1" s="17"/>
      <c r="I1" s="17" t="s">
        <v>18</v>
      </c>
      <c r="J1" s="17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15</v>
      </c>
      <c r="H2" t="s">
        <v>16</v>
      </c>
      <c r="I2" t="s">
        <v>19</v>
      </c>
      <c r="J2" t="s">
        <v>20</v>
      </c>
    </row>
    <row r="3" spans="1:10" x14ac:dyDescent="0.3">
      <c r="A3" t="s">
        <v>5</v>
      </c>
      <c r="B3">
        <v>0.11095414820787515</v>
      </c>
      <c r="C3">
        <v>-0.3288120865390477</v>
      </c>
      <c r="D3">
        <v>0.182089128886882</v>
      </c>
      <c r="E3">
        <v>-0.26212343307763525</v>
      </c>
      <c r="G3">
        <f>ABS(B3-C3)</f>
        <v>0.43976623474692283</v>
      </c>
      <c r="H3">
        <f>ABS(D3-E3)</f>
        <v>0.44421256196451725</v>
      </c>
      <c r="I3">
        <f>ABS(B3-D3)</f>
        <v>7.1134980679006851E-2</v>
      </c>
      <c r="J3">
        <f>ABS(C3-E3)</f>
        <v>6.668865346141245E-2</v>
      </c>
    </row>
    <row r="4" spans="1:10" x14ac:dyDescent="0.3">
      <c r="A4" t="s">
        <v>55</v>
      </c>
      <c r="B4">
        <v>0</v>
      </c>
      <c r="C4">
        <v>0</v>
      </c>
      <c r="D4">
        <v>0</v>
      </c>
      <c r="E4">
        <v>0</v>
      </c>
      <c r="G4">
        <f t="shared" ref="G4:G16" si="0">ABS(B4-C4)</f>
        <v>0</v>
      </c>
      <c r="H4">
        <f t="shared" ref="H4:H15" si="1">ABS(D4-E4)</f>
        <v>0</v>
      </c>
      <c r="I4">
        <f t="shared" ref="I4:I16" si="2">ABS(B4-D4)</f>
        <v>0</v>
      </c>
      <c r="J4">
        <f t="shared" ref="J4:J16" si="3">ABS(C4-E4)</f>
        <v>0</v>
      </c>
    </row>
    <row r="5" spans="1:10" x14ac:dyDescent="0.3">
      <c r="A5" t="s">
        <v>6</v>
      </c>
      <c r="B5">
        <v>-1.121761733483422E-2</v>
      </c>
      <c r="C5">
        <v>0.71378751042867716</v>
      </c>
      <c r="D5">
        <v>-5.6858895383839298E-3</v>
      </c>
      <c r="E5">
        <v>0.72977141938573376</v>
      </c>
      <c r="G5">
        <f t="shared" si="0"/>
        <v>0.72500512776351134</v>
      </c>
      <c r="H5">
        <f t="shared" si="1"/>
        <v>0.73545730892411765</v>
      </c>
      <c r="I5">
        <f t="shared" si="2"/>
        <v>5.5317277964502904E-3</v>
      </c>
      <c r="J5">
        <f t="shared" si="3"/>
        <v>1.5983908957056592E-2</v>
      </c>
    </row>
    <row r="6" spans="1:10" x14ac:dyDescent="0.3">
      <c r="A6" t="s">
        <v>7</v>
      </c>
      <c r="B6">
        <v>0.43999477812061705</v>
      </c>
      <c r="C6">
        <v>2.5251751729038974</v>
      </c>
      <c r="D6">
        <v>0.35831277672602052</v>
      </c>
      <c r="E6">
        <v>2.1601761788741212</v>
      </c>
      <c r="G6">
        <f t="shared" si="0"/>
        <v>2.0851803947832801</v>
      </c>
      <c r="H6">
        <f t="shared" si="1"/>
        <v>1.8018634021481006</v>
      </c>
      <c r="I6">
        <f t="shared" si="2"/>
        <v>8.1682001394596526E-2</v>
      </c>
      <c r="J6">
        <f t="shared" si="3"/>
        <v>0.3649989940297762</v>
      </c>
    </row>
    <row r="7" spans="1:10" x14ac:dyDescent="0.3">
      <c r="A7" t="s">
        <v>8</v>
      </c>
      <c r="B7">
        <v>1.5374868272641065</v>
      </c>
      <c r="C7">
        <v>1.6632020873063085</v>
      </c>
      <c r="D7">
        <v>1.5348247852220067</v>
      </c>
      <c r="E7">
        <v>1.7362557487533459</v>
      </c>
      <c r="G7">
        <f t="shared" si="0"/>
        <v>0.12571526004220202</v>
      </c>
      <c r="H7">
        <f t="shared" si="1"/>
        <v>0.20143096353133916</v>
      </c>
      <c r="I7">
        <f t="shared" si="2"/>
        <v>2.6620420420997437E-3</v>
      </c>
      <c r="J7">
        <f t="shared" si="3"/>
        <v>7.3053661447037399E-2</v>
      </c>
    </row>
    <row r="8" spans="1:10" x14ac:dyDescent="0.3">
      <c r="A8" t="s">
        <v>56</v>
      </c>
      <c r="B8">
        <v>-3.5889518192478001E-2</v>
      </c>
      <c r="C8">
        <v>-2.4940251658889929E-2</v>
      </c>
      <c r="D8">
        <v>-3.5535602597997401E-2</v>
      </c>
      <c r="E8">
        <v>-2.4967721502066546E-2</v>
      </c>
      <c r="G8">
        <f t="shared" si="0"/>
        <v>1.0949266533588072E-2</v>
      </c>
      <c r="H8">
        <f t="shared" si="1"/>
        <v>1.0567881095930855E-2</v>
      </c>
      <c r="I8">
        <f t="shared" si="2"/>
        <v>3.5391559448059995E-4</v>
      </c>
      <c r="J8">
        <f t="shared" si="3"/>
        <v>2.746984317661752E-5</v>
      </c>
    </row>
    <row r="9" spans="1:10" x14ac:dyDescent="0.3">
      <c r="A9" t="s">
        <v>9</v>
      </c>
      <c r="B9">
        <v>-0.95031201128246046</v>
      </c>
      <c r="C9">
        <v>-1.5374577379617005</v>
      </c>
      <c r="D9">
        <v>-0.85868596561097477</v>
      </c>
      <c r="E9">
        <v>-1.3750307716289769</v>
      </c>
      <c r="G9">
        <f t="shared" si="0"/>
        <v>0.58714572667924003</v>
      </c>
      <c r="H9">
        <f t="shared" si="1"/>
        <v>0.51634480601800214</v>
      </c>
      <c r="I9">
        <f t="shared" si="2"/>
        <v>9.162604567148569E-2</v>
      </c>
      <c r="J9">
        <f t="shared" si="3"/>
        <v>0.16242696633272358</v>
      </c>
    </row>
    <row r="10" spans="1:10" x14ac:dyDescent="0.3">
      <c r="A10" t="s">
        <v>57</v>
      </c>
      <c r="B10">
        <v>0.26441962645741612</v>
      </c>
      <c r="C10">
        <v>1.0639412980505698</v>
      </c>
      <c r="D10">
        <v>0.25652254809981878</v>
      </c>
      <c r="E10">
        <v>1.0660964388408229</v>
      </c>
      <c r="G10">
        <f t="shared" si="0"/>
        <v>0.79952167159315368</v>
      </c>
      <c r="H10">
        <f t="shared" si="1"/>
        <v>0.80957389074100417</v>
      </c>
      <c r="I10">
        <f t="shared" si="2"/>
        <v>7.8970783575973424E-3</v>
      </c>
      <c r="J10">
        <f t="shared" si="3"/>
        <v>2.1551407902531405E-3</v>
      </c>
    </row>
    <row r="11" spans="1:10" x14ac:dyDescent="0.3">
      <c r="A11" t="s">
        <v>10</v>
      </c>
      <c r="B11">
        <v>0.20705792187759831</v>
      </c>
      <c r="C11">
        <v>0.79873394045683022</v>
      </c>
      <c r="D11">
        <v>0.18051571893589444</v>
      </c>
      <c r="E11">
        <v>-0.84773519197464886</v>
      </c>
      <c r="G11">
        <f t="shared" si="0"/>
        <v>0.59167601857923191</v>
      </c>
      <c r="H11">
        <f t="shared" si="1"/>
        <v>1.0282509109105433</v>
      </c>
      <c r="I11">
        <f t="shared" si="2"/>
        <v>2.6542202941703869E-2</v>
      </c>
      <c r="J11">
        <f t="shared" si="3"/>
        <v>1.6464691324314791</v>
      </c>
    </row>
    <row r="12" spans="1:10" x14ac:dyDescent="0.3">
      <c r="A12" t="s">
        <v>58</v>
      </c>
      <c r="B12">
        <v>0.18345276111994413</v>
      </c>
      <c r="C12">
        <v>0.74856157296001924</v>
      </c>
      <c r="D12">
        <v>0.11794024016738081</v>
      </c>
      <c r="E12">
        <v>1.410688841216641</v>
      </c>
      <c r="G12">
        <f t="shared" si="0"/>
        <v>0.56510881184007511</v>
      </c>
      <c r="H12">
        <f t="shared" si="1"/>
        <v>1.2927486010492601</v>
      </c>
      <c r="I12">
        <f t="shared" si="2"/>
        <v>6.5512520952563325E-2</v>
      </c>
      <c r="J12">
        <f t="shared" si="3"/>
        <v>0.66212726825662171</v>
      </c>
    </row>
    <row r="13" spans="1:10" x14ac:dyDescent="0.3">
      <c r="A13" t="s">
        <v>11</v>
      </c>
      <c r="B13">
        <v>-0.12142400086726794</v>
      </c>
      <c r="C13">
        <v>-0.6970567952574902</v>
      </c>
      <c r="D13">
        <v>-9.7525975490874522E-2</v>
      </c>
      <c r="E13">
        <v>-0.5403446099219783</v>
      </c>
      <c r="G13">
        <f t="shared" si="0"/>
        <v>0.5756327943902223</v>
      </c>
      <c r="H13">
        <f t="shared" si="1"/>
        <v>0.44281863443110381</v>
      </c>
      <c r="I13">
        <f t="shared" si="2"/>
        <v>2.389802537639342E-2</v>
      </c>
      <c r="J13">
        <f t="shared" si="3"/>
        <v>0.1567121853355119</v>
      </c>
    </row>
    <row r="14" spans="1:10" x14ac:dyDescent="0.3">
      <c r="A14" t="s">
        <v>59</v>
      </c>
      <c r="B14">
        <v>4.0497406559032924E-2</v>
      </c>
      <c r="C14" s="5">
        <v>1.0776203128607726</v>
      </c>
      <c r="D14">
        <v>4.9423460502027089E-2</v>
      </c>
      <c r="E14" s="5">
        <v>-0.53207429119087835</v>
      </c>
      <c r="G14">
        <f t="shared" si="0"/>
        <v>1.0371229063017398</v>
      </c>
      <c r="H14">
        <f t="shared" si="1"/>
        <v>0.58149775169290541</v>
      </c>
      <c r="I14">
        <f t="shared" si="2"/>
        <v>8.9260539429941652E-3</v>
      </c>
      <c r="J14">
        <f t="shared" si="3"/>
        <v>1.6096946040516511</v>
      </c>
    </row>
    <row r="15" spans="1:10" x14ac:dyDescent="0.3">
      <c r="A15" t="s">
        <v>12</v>
      </c>
      <c r="B15" s="5">
        <v>0.38064621579888175</v>
      </c>
      <c r="C15" s="5">
        <v>-1.7663357143760248</v>
      </c>
      <c r="D15" s="5">
        <v>0.40268246819641279</v>
      </c>
      <c r="E15" s="5">
        <v>-1.8024734715378226</v>
      </c>
      <c r="G15">
        <f t="shared" si="0"/>
        <v>2.1469819301749067</v>
      </c>
      <c r="H15">
        <f t="shared" si="1"/>
        <v>2.2051559397342353</v>
      </c>
      <c r="I15">
        <f t="shared" si="2"/>
        <v>2.2036252397531042E-2</v>
      </c>
      <c r="J15">
        <f t="shared" si="3"/>
        <v>3.613775716179779E-2</v>
      </c>
    </row>
    <row r="16" spans="1:10" x14ac:dyDescent="0.3">
      <c r="A16" t="s">
        <v>13</v>
      </c>
      <c r="B16">
        <v>0.22343016333972229</v>
      </c>
      <c r="C16">
        <v>-0.337622088894656</v>
      </c>
      <c r="D16">
        <v>0.23772753912347963</v>
      </c>
      <c r="E16">
        <v>-0.2351096771151549</v>
      </c>
      <c r="G16">
        <f t="shared" si="0"/>
        <v>0.56105225223437827</v>
      </c>
      <c r="H16">
        <f>ABS(D16-E16)</f>
        <v>0.47283721623863451</v>
      </c>
      <c r="I16">
        <f t="shared" si="2"/>
        <v>1.4297375783757338E-2</v>
      </c>
      <c r="J16">
        <f t="shared" si="3"/>
        <v>0.1025124117795011</v>
      </c>
    </row>
    <row r="17" spans="1:10" x14ac:dyDescent="0.3">
      <c r="B17" s="3"/>
      <c r="D17" s="3"/>
      <c r="E17" s="3"/>
    </row>
    <row r="18" spans="1:10" x14ac:dyDescent="0.3">
      <c r="B18" s="3"/>
      <c r="D18" s="3"/>
      <c r="E18" s="3"/>
    </row>
    <row r="19" spans="1:10" x14ac:dyDescent="0.3">
      <c r="G19" s="17" t="s">
        <v>21</v>
      </c>
      <c r="H19" s="17"/>
      <c r="I19" s="17" t="s">
        <v>21</v>
      </c>
      <c r="J19" s="18"/>
    </row>
    <row r="20" spans="1:10" x14ac:dyDescent="0.3">
      <c r="F20" t="s">
        <v>22</v>
      </c>
      <c r="G20">
        <f>AVERAGE(G3:G16)</f>
        <v>0.73220417111874647</v>
      </c>
      <c r="H20">
        <f t="shared" ref="H20:J20" si="4">AVERAGE(H3:H16)</f>
        <v>0.75305427631997812</v>
      </c>
      <c r="I20">
        <f t="shared" si="4"/>
        <v>3.0150015923618583E-2</v>
      </c>
      <c r="J20">
        <f t="shared" si="4"/>
        <v>0.34992772527699989</v>
      </c>
    </row>
    <row r="21" spans="1:10" x14ac:dyDescent="0.3">
      <c r="F21" t="s">
        <v>23</v>
      </c>
      <c r="G21">
        <f>MEDIAN(G3:G16)</f>
        <v>0.58138926053473117</v>
      </c>
      <c r="H21">
        <f t="shared" ref="H21:J21" si="5">MEDIAN(H3:H16)</f>
        <v>0.54892127885545383</v>
      </c>
      <c r="I21">
        <f t="shared" si="5"/>
        <v>1.816681409064419E-2</v>
      </c>
      <c r="J21">
        <f t="shared" si="5"/>
        <v>8.778303661326925E-2</v>
      </c>
    </row>
    <row r="22" spans="1:10" x14ac:dyDescent="0.3">
      <c r="F22" t="s">
        <v>24</v>
      </c>
      <c r="G22" cm="1">
        <f t="array" ref="G22">MIN(ABS(G3:G16))</f>
        <v>0</v>
      </c>
      <c r="H22" cm="1">
        <f t="array" ref="H22">MIN(ABS(H3:H16))</f>
        <v>0</v>
      </c>
      <c r="I22" cm="1">
        <f t="array" ref="I22">MIN(ABS(I3:I16))</f>
        <v>0</v>
      </c>
      <c r="J22" cm="1">
        <f t="array" ref="J22">MIN(ABS(J3:J16))</f>
        <v>0</v>
      </c>
    </row>
    <row r="23" spans="1:10" x14ac:dyDescent="0.3">
      <c r="F23" t="s">
        <v>25</v>
      </c>
      <c r="G23" cm="1">
        <f t="array" ref="G23">MAX(ABS((G3:G16)))</f>
        <v>2.1469819301749067</v>
      </c>
      <c r="H23" cm="1">
        <f t="array" ref="H23">MAX(ABS((H3:H16)))</f>
        <v>2.2051559397342353</v>
      </c>
      <c r="I23" cm="1">
        <f t="array" ref="I23">MAX(ABS((I3:I16)))</f>
        <v>9.162604567148569E-2</v>
      </c>
      <c r="J23" cm="1">
        <f t="array" ref="J23">MAX(ABS((J3:J16)))</f>
        <v>1.6464691324314791</v>
      </c>
    </row>
    <row r="27" spans="1:10" x14ac:dyDescent="0.3">
      <c r="A27" t="s">
        <v>0</v>
      </c>
      <c r="B27" t="s">
        <v>2</v>
      </c>
      <c r="C27" t="s">
        <v>4</v>
      </c>
      <c r="D27" t="s">
        <v>1</v>
      </c>
      <c r="E27" t="s">
        <v>3</v>
      </c>
      <c r="F27" t="s">
        <v>62</v>
      </c>
      <c r="G27" t="s">
        <v>63</v>
      </c>
    </row>
    <row r="28" spans="1:10" x14ac:dyDescent="0.3">
      <c r="A28" t="s">
        <v>5</v>
      </c>
      <c r="B28" s="8">
        <v>-0.3288120865390477</v>
      </c>
      <c r="C28" s="8">
        <v>-0.26212343307763525</v>
      </c>
      <c r="D28" s="8">
        <v>0.11095414820787515</v>
      </c>
      <c r="E28" s="8">
        <v>0.182089128886882</v>
      </c>
      <c r="F28" s="8">
        <f>(B28-C28)^2</f>
        <v>4.447376500496359E-3</v>
      </c>
      <c r="G28" s="7">
        <f>(D28-E28)^2</f>
        <v>5.060185476202678E-3</v>
      </c>
    </row>
    <row r="29" spans="1:10" x14ac:dyDescent="0.3">
      <c r="A29" t="s">
        <v>55</v>
      </c>
      <c r="B29">
        <v>0</v>
      </c>
      <c r="C29">
        <v>0</v>
      </c>
      <c r="D29">
        <v>0</v>
      </c>
      <c r="E29">
        <v>0</v>
      </c>
      <c r="F29" s="9">
        <f>(B29-C29)^2</f>
        <v>0</v>
      </c>
      <c r="G29" s="9">
        <f t="shared" ref="G29:G41" si="6">(D29-E29)^2</f>
        <v>0</v>
      </c>
    </row>
    <row r="30" spans="1:10" x14ac:dyDescent="0.3">
      <c r="A30" t="s">
        <v>6</v>
      </c>
      <c r="B30" s="8">
        <v>0.71378751042867716</v>
      </c>
      <c r="C30" s="8">
        <v>0.72977141938573376</v>
      </c>
      <c r="D30" s="8">
        <v>-1.121761733483422E-2</v>
      </c>
      <c r="E30" s="8">
        <v>-5.6858895383839298E-3</v>
      </c>
      <c r="F30" s="7">
        <f t="shared" ref="F30:F41" si="7">(B30-C30)^2</f>
        <v>2.5548534554747395E-4</v>
      </c>
      <c r="G30" s="7">
        <f t="shared" si="6"/>
        <v>3.0600012414020785E-5</v>
      </c>
    </row>
    <row r="31" spans="1:10" x14ac:dyDescent="0.3">
      <c r="A31" t="s">
        <v>7</v>
      </c>
      <c r="B31" s="8">
        <v>2.5251751729038974</v>
      </c>
      <c r="C31" s="8">
        <v>2.1601761788741212</v>
      </c>
      <c r="D31" s="8">
        <v>0.43999477812061705</v>
      </c>
      <c r="E31" s="8">
        <v>0.35831277672602052</v>
      </c>
      <c r="F31" s="8">
        <f t="shared" si="7"/>
        <v>0.13322426564274861</v>
      </c>
      <c r="G31" s="7">
        <f t="shared" si="6"/>
        <v>6.6719493518268688E-3</v>
      </c>
    </row>
    <row r="32" spans="1:10" x14ac:dyDescent="0.3">
      <c r="A32" t="s">
        <v>8</v>
      </c>
      <c r="B32" s="8">
        <v>1.6632020873063085</v>
      </c>
      <c r="C32" s="8">
        <v>1.7362557487533459</v>
      </c>
      <c r="D32" s="8">
        <v>1.5374868272641065</v>
      </c>
      <c r="E32" s="8">
        <v>1.5348247852220067</v>
      </c>
      <c r="F32" s="7">
        <f t="shared" si="7"/>
        <v>5.336837450818358E-3</v>
      </c>
      <c r="G32" s="7">
        <f t="shared" si="6"/>
        <v>7.0864678339065738E-6</v>
      </c>
    </row>
    <row r="33" spans="1:7" x14ac:dyDescent="0.3">
      <c r="A33" t="s">
        <v>56</v>
      </c>
      <c r="B33" s="8">
        <v>-2.4940251658889929E-2</v>
      </c>
      <c r="C33" s="8">
        <v>-2.4967721502066546E-2</v>
      </c>
      <c r="D33" s="8">
        <v>-3.5889518192478001E-2</v>
      </c>
      <c r="E33" s="8">
        <v>-3.5535602597997401E-2</v>
      </c>
      <c r="F33" s="7">
        <f t="shared" si="7"/>
        <v>7.5459228414796015E-10</v>
      </c>
      <c r="G33" s="7">
        <f t="shared" si="6"/>
        <v>1.2525624801655647E-7</v>
      </c>
    </row>
    <row r="34" spans="1:7" x14ac:dyDescent="0.3">
      <c r="A34" t="s">
        <v>9</v>
      </c>
      <c r="B34" s="8">
        <v>-1.5374577379617005</v>
      </c>
      <c r="C34" s="8">
        <v>-1.3750307716289769</v>
      </c>
      <c r="D34" s="8">
        <v>-0.95031201128246046</v>
      </c>
      <c r="E34" s="8">
        <v>-0.85868596561097477</v>
      </c>
      <c r="F34" s="8">
        <f t="shared" si="7"/>
        <v>2.6382519392051718E-2</v>
      </c>
      <c r="G34" s="7">
        <f t="shared" si="6"/>
        <v>8.3953322453931816E-3</v>
      </c>
    </row>
    <row r="35" spans="1:7" x14ac:dyDescent="0.3">
      <c r="A35" t="s">
        <v>57</v>
      </c>
      <c r="B35" s="8">
        <v>1.0639412980505698</v>
      </c>
      <c r="C35" s="8">
        <v>1.0660964388408229</v>
      </c>
      <c r="D35" s="8">
        <v>0.26441962645741612</v>
      </c>
      <c r="E35" s="8">
        <v>0.25652254809981878</v>
      </c>
      <c r="F35" s="7">
        <f t="shared" si="7"/>
        <v>4.6446318258129315E-6</v>
      </c>
      <c r="G35" s="7">
        <f t="shared" si="6"/>
        <v>6.2363846586032342E-5</v>
      </c>
    </row>
    <row r="36" spans="1:7" x14ac:dyDescent="0.3">
      <c r="A36" t="s">
        <v>10</v>
      </c>
      <c r="B36" s="8">
        <v>0.79873394045683022</v>
      </c>
      <c r="C36" s="8">
        <v>-0.84773519197464886</v>
      </c>
      <c r="D36" s="8">
        <v>0.20705792187759831</v>
      </c>
      <c r="E36" s="8">
        <v>0.18051571893589444</v>
      </c>
      <c r="F36" s="8">
        <f t="shared" si="7"/>
        <v>2.7108606040496674</v>
      </c>
      <c r="G36" s="7">
        <f t="shared" si="6"/>
        <v>7.0448853699859345E-4</v>
      </c>
    </row>
    <row r="37" spans="1:7" x14ac:dyDescent="0.3">
      <c r="A37" t="s">
        <v>58</v>
      </c>
      <c r="B37" s="8">
        <v>0.74856157296001924</v>
      </c>
      <c r="C37" s="8">
        <v>1.410688841216641</v>
      </c>
      <c r="D37" s="8">
        <v>0.18345276111994413</v>
      </c>
      <c r="E37" s="8">
        <v>0.11794024016738081</v>
      </c>
      <c r="F37" s="8">
        <f t="shared" si="7"/>
        <v>0.43841251936897629</v>
      </c>
      <c r="G37" s="7">
        <f t="shared" si="6"/>
        <v>4.2918904015600487E-3</v>
      </c>
    </row>
    <row r="38" spans="1:7" x14ac:dyDescent="0.3">
      <c r="A38" t="s">
        <v>11</v>
      </c>
      <c r="B38" s="8">
        <v>-0.6970567952574902</v>
      </c>
      <c r="C38" s="8">
        <v>-0.5403446099219783</v>
      </c>
      <c r="D38" s="8">
        <v>-0.12142400086726794</v>
      </c>
      <c r="E38" s="8">
        <v>-9.7525975490874522E-2</v>
      </c>
      <c r="F38" s="8">
        <f t="shared" si="7"/>
        <v>2.4558709032631829E-2</v>
      </c>
      <c r="G38" s="7">
        <f t="shared" si="6"/>
        <v>5.7111561689074386E-4</v>
      </c>
    </row>
    <row r="39" spans="1:7" x14ac:dyDescent="0.3">
      <c r="A39" t="s">
        <v>59</v>
      </c>
      <c r="B39" s="8">
        <v>1.0776203128607726</v>
      </c>
      <c r="C39" s="8">
        <v>-0.53207429119087835</v>
      </c>
      <c r="D39" s="8">
        <v>4.0497406559032924E-2</v>
      </c>
      <c r="E39" s="8">
        <v>4.9423460502027089E-2</v>
      </c>
      <c r="F39" s="8">
        <f t="shared" si="7"/>
        <v>2.5911167183130019</v>
      </c>
      <c r="G39" s="7">
        <f t="shared" si="6"/>
        <v>7.9674438993241684E-5</v>
      </c>
    </row>
    <row r="40" spans="1:7" x14ac:dyDescent="0.3">
      <c r="A40" t="s">
        <v>12</v>
      </c>
      <c r="B40" s="8">
        <v>-1.7663357143760248</v>
      </c>
      <c r="C40" s="8">
        <v>-1.8024734715378226</v>
      </c>
      <c r="D40" s="8">
        <v>0.38064621579888175</v>
      </c>
      <c r="E40" s="8">
        <v>0.40268246819641279</v>
      </c>
      <c r="F40" s="7">
        <f t="shared" si="7"/>
        <v>1.3059374926850675E-3</v>
      </c>
      <c r="G40" s="7">
        <f t="shared" si="6"/>
        <v>4.8559641972769257E-4</v>
      </c>
    </row>
    <row r="41" spans="1:7" x14ac:dyDescent="0.3">
      <c r="A41" t="s">
        <v>13</v>
      </c>
      <c r="B41" s="8">
        <v>-0.337622088894656</v>
      </c>
      <c r="C41" s="8">
        <v>-0.2351096771151549</v>
      </c>
      <c r="D41" s="8">
        <v>0.22343016333972229</v>
      </c>
      <c r="E41" s="8">
        <v>0.23772753912347963</v>
      </c>
      <c r="F41" s="8">
        <f t="shared" si="7"/>
        <v>1.0508794568849997E-2</v>
      </c>
      <c r="G41" s="7">
        <f t="shared" si="6"/>
        <v>2.0441495430197076E-4</v>
      </c>
    </row>
    <row r="42" spans="1:7" x14ac:dyDescent="0.3">
      <c r="F42" s="7"/>
      <c r="G42" s="7"/>
    </row>
    <row r="43" spans="1:7" x14ac:dyDescent="0.3">
      <c r="F43" s="8">
        <f>AVERAGE(F28:F41)</f>
        <v>0.42474388661027807</v>
      </c>
      <c r="G43" s="8">
        <f>AVERAGE(G28:G41)</f>
        <v>1.8974873589269283E-3</v>
      </c>
    </row>
    <row r="44" spans="1:7" x14ac:dyDescent="0.3">
      <c r="F44" s="8">
        <f>SUM(F28:F41)</f>
        <v>5.9464144125438931</v>
      </c>
      <c r="G44" s="8">
        <f>SUM(G28:G41)</f>
        <v>2.6564823024976997E-2</v>
      </c>
    </row>
    <row r="45" spans="1:7" x14ac:dyDescent="0.3">
      <c r="F45">
        <f>STDEV(F28:F41)</f>
        <v>0.95064196000819123</v>
      </c>
      <c r="G45">
        <f>STDEV(G28:G41)</f>
        <v>2.9052629487444004E-3</v>
      </c>
    </row>
    <row r="49" spans="1:7" x14ac:dyDescent="0.3">
      <c r="A49" t="s">
        <v>0</v>
      </c>
      <c r="B49" t="s">
        <v>2</v>
      </c>
      <c r="C49" t="s">
        <v>4</v>
      </c>
      <c r="D49" t="s">
        <v>1</v>
      </c>
      <c r="E49" t="s">
        <v>3</v>
      </c>
    </row>
    <row r="50" spans="1:7" x14ac:dyDescent="0.3">
      <c r="A50" t="s">
        <v>5</v>
      </c>
      <c r="B50" s="8">
        <v>-0.3288120865390477</v>
      </c>
      <c r="C50" s="8">
        <v>-0.26212343307763525</v>
      </c>
      <c r="D50" s="8">
        <v>0.11095414820787515</v>
      </c>
      <c r="E50" s="8">
        <v>0.182089128886882</v>
      </c>
      <c r="F50">
        <f>ABS(B50-C50)</f>
        <v>6.668865346141245E-2</v>
      </c>
      <c r="G50">
        <f>ABS(D50-E50)</f>
        <v>7.1134980679006851E-2</v>
      </c>
    </row>
    <row r="51" spans="1:7" x14ac:dyDescent="0.3">
      <c r="A51" t="s">
        <v>55</v>
      </c>
      <c r="B51">
        <v>0</v>
      </c>
      <c r="C51">
        <v>0</v>
      </c>
      <c r="D51">
        <v>0</v>
      </c>
      <c r="E51">
        <v>0</v>
      </c>
      <c r="F51">
        <f t="shared" ref="F51:F63" si="8">ABS(B51-C51)</f>
        <v>0</v>
      </c>
      <c r="G51">
        <f t="shared" ref="G51:G63" si="9">ABS(D51-E51)</f>
        <v>0</v>
      </c>
    </row>
    <row r="52" spans="1:7" x14ac:dyDescent="0.3">
      <c r="A52" t="s">
        <v>6</v>
      </c>
      <c r="B52" s="8">
        <v>0.71378751042867716</v>
      </c>
      <c r="C52" s="8">
        <v>0.72977141938573376</v>
      </c>
      <c r="D52" s="8">
        <v>-1.121761733483422E-2</v>
      </c>
      <c r="E52" s="8">
        <v>-5.6858895383839298E-3</v>
      </c>
      <c r="F52">
        <f t="shared" si="8"/>
        <v>1.5983908957056592E-2</v>
      </c>
      <c r="G52">
        <f t="shared" si="9"/>
        <v>5.5317277964502904E-3</v>
      </c>
    </row>
    <row r="53" spans="1:7" x14ac:dyDescent="0.3">
      <c r="A53" t="s">
        <v>7</v>
      </c>
      <c r="B53" s="8">
        <v>2.5251751729038974</v>
      </c>
      <c r="C53" s="8">
        <v>2.1601761788741212</v>
      </c>
      <c r="D53" s="8">
        <v>0.43999477812061705</v>
      </c>
      <c r="E53" s="8">
        <v>0.35831277672602052</v>
      </c>
      <c r="F53">
        <f t="shared" si="8"/>
        <v>0.3649989940297762</v>
      </c>
      <c r="G53">
        <f t="shared" si="9"/>
        <v>8.1682001394596526E-2</v>
      </c>
    </row>
    <row r="54" spans="1:7" x14ac:dyDescent="0.3">
      <c r="A54" t="s">
        <v>8</v>
      </c>
      <c r="B54" s="8">
        <v>1.6632020873063085</v>
      </c>
      <c r="C54" s="8">
        <v>1.7362557487533459</v>
      </c>
      <c r="D54" s="8">
        <v>1.5374868272641065</v>
      </c>
      <c r="E54" s="8">
        <v>1.5348247852220067</v>
      </c>
      <c r="F54">
        <f t="shared" si="8"/>
        <v>7.3053661447037399E-2</v>
      </c>
      <c r="G54">
        <f t="shared" si="9"/>
        <v>2.6620420420997437E-3</v>
      </c>
    </row>
    <row r="55" spans="1:7" x14ac:dyDescent="0.3">
      <c r="A55" t="s">
        <v>56</v>
      </c>
      <c r="B55" s="8">
        <v>-2.4940251658889929E-2</v>
      </c>
      <c r="C55" s="8">
        <v>-2.4967721502066546E-2</v>
      </c>
      <c r="D55" s="8">
        <v>-3.5889518192478001E-2</v>
      </c>
      <c r="E55" s="8">
        <v>-3.5535602597997401E-2</v>
      </c>
      <c r="F55">
        <f t="shared" si="8"/>
        <v>2.746984317661752E-5</v>
      </c>
      <c r="G55">
        <f t="shared" si="9"/>
        <v>3.5391559448059995E-4</v>
      </c>
    </row>
    <row r="56" spans="1:7" x14ac:dyDescent="0.3">
      <c r="A56" t="s">
        <v>9</v>
      </c>
      <c r="B56" s="8">
        <v>-1.5374577379617005</v>
      </c>
      <c r="C56" s="8">
        <v>-1.3750307716289769</v>
      </c>
      <c r="D56" s="8">
        <v>-0.95031201128246046</v>
      </c>
      <c r="E56" s="8">
        <v>-0.85868596561097477</v>
      </c>
      <c r="F56">
        <f t="shared" si="8"/>
        <v>0.16242696633272358</v>
      </c>
      <c r="G56">
        <f t="shared" si="9"/>
        <v>9.162604567148569E-2</v>
      </c>
    </row>
    <row r="57" spans="1:7" x14ac:dyDescent="0.3">
      <c r="A57" t="s">
        <v>57</v>
      </c>
      <c r="B57" s="8">
        <v>1.0639412980505698</v>
      </c>
      <c r="C57" s="8">
        <v>1.0660964388408229</v>
      </c>
      <c r="D57" s="8">
        <v>0.26441962645741612</v>
      </c>
      <c r="E57" s="8">
        <v>0.25652254809981878</v>
      </c>
      <c r="F57">
        <f t="shared" si="8"/>
        <v>2.1551407902531405E-3</v>
      </c>
      <c r="G57">
        <f t="shared" si="9"/>
        <v>7.8970783575973424E-3</v>
      </c>
    </row>
    <row r="58" spans="1:7" x14ac:dyDescent="0.3">
      <c r="A58" t="s">
        <v>10</v>
      </c>
      <c r="B58" s="8">
        <v>0.79873394045683022</v>
      </c>
      <c r="C58" s="8">
        <v>-0.84773519197464886</v>
      </c>
      <c r="D58" s="8">
        <v>0.20705792187759831</v>
      </c>
      <c r="E58" s="8">
        <v>0.18051571893589444</v>
      </c>
      <c r="F58">
        <f t="shared" si="8"/>
        <v>1.6464691324314791</v>
      </c>
      <c r="G58">
        <f t="shared" si="9"/>
        <v>2.6542202941703869E-2</v>
      </c>
    </row>
    <row r="59" spans="1:7" x14ac:dyDescent="0.3">
      <c r="A59" t="s">
        <v>58</v>
      </c>
      <c r="B59" s="8">
        <v>0.74856157296001924</v>
      </c>
      <c r="C59" s="8">
        <v>1.410688841216641</v>
      </c>
      <c r="D59" s="8">
        <v>0.18345276111994413</v>
      </c>
      <c r="E59" s="8">
        <v>0.11794024016738081</v>
      </c>
      <c r="F59">
        <f t="shared" si="8"/>
        <v>0.66212726825662171</v>
      </c>
      <c r="G59">
        <f t="shared" si="9"/>
        <v>6.5512520952563325E-2</v>
      </c>
    </row>
    <row r="60" spans="1:7" x14ac:dyDescent="0.3">
      <c r="A60" t="s">
        <v>11</v>
      </c>
      <c r="B60" s="8">
        <v>-0.6970567952574902</v>
      </c>
      <c r="C60" s="8">
        <v>-0.5403446099219783</v>
      </c>
      <c r="D60" s="8">
        <v>-0.12142400086726794</v>
      </c>
      <c r="E60" s="8">
        <v>-9.7525975490874522E-2</v>
      </c>
      <c r="F60">
        <f t="shared" si="8"/>
        <v>0.1567121853355119</v>
      </c>
      <c r="G60">
        <f t="shared" si="9"/>
        <v>2.389802537639342E-2</v>
      </c>
    </row>
    <row r="61" spans="1:7" x14ac:dyDescent="0.3">
      <c r="A61" t="s">
        <v>59</v>
      </c>
      <c r="B61" s="8">
        <v>1.0776203128607726</v>
      </c>
      <c r="C61" s="8">
        <v>-0.53207429119087835</v>
      </c>
      <c r="D61" s="8">
        <v>4.0497406559032924E-2</v>
      </c>
      <c r="E61" s="8">
        <v>4.9423460502027089E-2</v>
      </c>
      <c r="F61">
        <f t="shared" si="8"/>
        <v>1.6096946040516511</v>
      </c>
      <c r="G61">
        <f t="shared" si="9"/>
        <v>8.9260539429941652E-3</v>
      </c>
    </row>
    <row r="62" spans="1:7" x14ac:dyDescent="0.3">
      <c r="A62" t="s">
        <v>12</v>
      </c>
      <c r="B62" s="8">
        <v>-1.7663357143760248</v>
      </c>
      <c r="C62" s="8">
        <v>-1.8024734715378226</v>
      </c>
      <c r="D62" s="8">
        <v>0.38064621579888175</v>
      </c>
      <c r="E62" s="8">
        <v>0.40268246819641279</v>
      </c>
      <c r="F62">
        <f t="shared" si="8"/>
        <v>3.613775716179779E-2</v>
      </c>
      <c r="G62">
        <f t="shared" si="9"/>
        <v>2.2036252397531042E-2</v>
      </c>
    </row>
    <row r="63" spans="1:7" x14ac:dyDescent="0.3">
      <c r="A63" t="s">
        <v>13</v>
      </c>
      <c r="B63" s="8">
        <v>-0.337622088894656</v>
      </c>
      <c r="C63" s="8">
        <v>-0.2351096771151549</v>
      </c>
      <c r="D63" s="8">
        <v>0.22343016333972229</v>
      </c>
      <c r="E63" s="8">
        <v>0.23772753912347963</v>
      </c>
      <c r="F63">
        <f t="shared" si="8"/>
        <v>0.1025124117795011</v>
      </c>
      <c r="G63">
        <f t="shared" si="9"/>
        <v>1.4297375783757338E-2</v>
      </c>
    </row>
    <row r="65" spans="5:7" x14ac:dyDescent="0.3">
      <c r="E65" t="s">
        <v>79</v>
      </c>
      <c r="F65" s="8">
        <f>AVERAGE(F50:F63)</f>
        <v>0.34992772527699989</v>
      </c>
      <c r="G65" s="8">
        <f>AVERAGE(G50:G63)</f>
        <v>3.0150015923618583E-2</v>
      </c>
    </row>
    <row r="66" spans="5:7" x14ac:dyDescent="0.3">
      <c r="E66" t="s">
        <v>80</v>
      </c>
      <c r="F66" s="8">
        <f>SUM(F50:F63)</f>
        <v>4.8989881538779985</v>
      </c>
      <c r="G66" s="8">
        <f>SUM(G50:G63)</f>
        <v>0.42210022293066018</v>
      </c>
    </row>
    <row r="67" spans="5:7" x14ac:dyDescent="0.3">
      <c r="E67" t="s">
        <v>81</v>
      </c>
      <c r="F67">
        <f>STDEV(F50:F63)</f>
        <v>0.57056804567556219</v>
      </c>
      <c r="G67">
        <f>STDEV(G50:G63)</f>
        <v>3.2626669815510698E-2</v>
      </c>
    </row>
  </sheetData>
  <mergeCells count="5">
    <mergeCell ref="A1:E1"/>
    <mergeCell ref="G1:H1"/>
    <mergeCell ref="I1:J1"/>
    <mergeCell ref="G19:H19"/>
    <mergeCell ref="I19:J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06F-1F88-43EF-9A2D-D9A3440087B5}">
  <dimension ref="A1:AI188"/>
  <sheetViews>
    <sheetView tabSelected="1" topLeftCell="A150" zoomScale="121" zoomScaleNormal="90" workbookViewId="0">
      <selection activeCell="J189" sqref="J189"/>
    </sheetView>
  </sheetViews>
  <sheetFormatPr defaultRowHeight="14.4" x14ac:dyDescent="0.3"/>
  <cols>
    <col min="2" max="2" width="9" bestFit="1" customWidth="1"/>
    <col min="3" max="3" width="12.88671875" bestFit="1" customWidth="1"/>
    <col min="4" max="6" width="11.44140625" bestFit="1" customWidth="1"/>
    <col min="7" max="7" width="10.109375" bestFit="1" customWidth="1"/>
    <col min="8" max="8" width="12" bestFit="1" customWidth="1"/>
    <col min="9" max="9" width="9.109375" bestFit="1" customWidth="1"/>
    <col min="10" max="10" width="8.88671875" customWidth="1"/>
    <col min="11" max="11" width="13" bestFit="1" customWidth="1"/>
    <col min="12" max="17" width="9" bestFit="1" customWidth="1"/>
    <col min="20" max="35" width="9" bestFit="1" customWidth="1"/>
  </cols>
  <sheetData>
    <row r="1" spans="1:35" x14ac:dyDescent="0.3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S1" s="17" t="s">
        <v>27</v>
      </c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3">
      <c r="A2" t="s">
        <v>26</v>
      </c>
      <c r="B2" t="s">
        <v>5</v>
      </c>
      <c r="C2" t="s">
        <v>55</v>
      </c>
      <c r="D2" t="s">
        <v>6</v>
      </c>
      <c r="E2" t="s">
        <v>7</v>
      </c>
      <c r="F2" t="s">
        <v>8</v>
      </c>
      <c r="G2" t="s">
        <v>56</v>
      </c>
      <c r="H2" t="s">
        <v>9</v>
      </c>
      <c r="I2" t="s">
        <v>57</v>
      </c>
      <c r="J2" t="s">
        <v>10</v>
      </c>
      <c r="K2" t="s">
        <v>58</v>
      </c>
      <c r="L2" t="s">
        <v>11</v>
      </c>
      <c r="M2" t="s">
        <v>59</v>
      </c>
      <c r="N2" t="s">
        <v>12</v>
      </c>
      <c r="O2" t="s">
        <v>13</v>
      </c>
      <c r="P2" s="1"/>
      <c r="Q2" s="1"/>
      <c r="S2" t="s">
        <v>26</v>
      </c>
      <c r="T2" t="s">
        <v>5</v>
      </c>
      <c r="U2" t="s">
        <v>55</v>
      </c>
      <c r="V2" t="s">
        <v>6</v>
      </c>
      <c r="W2" t="s">
        <v>7</v>
      </c>
      <c r="X2" t="s">
        <v>8</v>
      </c>
      <c r="Y2" t="s">
        <v>56</v>
      </c>
      <c r="Z2" t="s">
        <v>9</v>
      </c>
      <c r="AA2" t="s">
        <v>57</v>
      </c>
      <c r="AB2" t="s">
        <v>10</v>
      </c>
      <c r="AC2" t="s">
        <v>58</v>
      </c>
      <c r="AD2" t="s">
        <v>11</v>
      </c>
      <c r="AE2" t="s">
        <v>59</v>
      </c>
      <c r="AF2" t="s">
        <v>12</v>
      </c>
      <c r="AG2" t="s">
        <v>13</v>
      </c>
    </row>
    <row r="3" spans="1:35" x14ac:dyDescent="0.3">
      <c r="A3" t="s">
        <v>5</v>
      </c>
      <c r="B3">
        <v>0</v>
      </c>
      <c r="C3">
        <v>0</v>
      </c>
      <c r="D3">
        <v>0</v>
      </c>
      <c r="E3">
        <v>0</v>
      </c>
      <c r="F3">
        <v>0.66350532959530661</v>
      </c>
      <c r="G3">
        <v>0</v>
      </c>
      <c r="H3">
        <v>-1.3993429319260515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/>
      <c r="Q3" s="1"/>
      <c r="S3" t="s">
        <v>5</v>
      </c>
      <c r="T3">
        <v>0</v>
      </c>
      <c r="U3">
        <v>0</v>
      </c>
      <c r="V3">
        <v>0</v>
      </c>
      <c r="W3">
        <v>0</v>
      </c>
      <c r="X3">
        <v>0.78035288163818284</v>
      </c>
      <c r="Y3">
        <v>0</v>
      </c>
      <c r="Z3">
        <v>-2.2283148436118352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5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/>
      <c r="Q4" s="1"/>
      <c r="S4" t="s">
        <v>55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5" x14ac:dyDescent="0.3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0.23271564228166022</v>
      </c>
      <c r="O5">
        <v>0</v>
      </c>
      <c r="P5" s="1"/>
      <c r="Q5" s="1"/>
      <c r="S5" t="s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0.57588084463484135</v>
      </c>
      <c r="AG5">
        <v>0</v>
      </c>
    </row>
    <row r="6" spans="1:35" x14ac:dyDescent="0.3">
      <c r="A6" t="s">
        <v>7</v>
      </c>
      <c r="B6">
        <v>7.1573826206932187E-2</v>
      </c>
      <c r="C6">
        <v>0</v>
      </c>
      <c r="D6">
        <v>0</v>
      </c>
      <c r="E6">
        <v>0</v>
      </c>
      <c r="F6">
        <v>-0.2993090140483296</v>
      </c>
      <c r="G6">
        <v>0</v>
      </c>
      <c r="H6">
        <v>1.365815590990511</v>
      </c>
      <c r="I6">
        <v>0</v>
      </c>
      <c r="J6">
        <v>0</v>
      </c>
      <c r="K6">
        <v>-0.90408529462526876</v>
      </c>
      <c r="L6">
        <v>-1.5710570539715525</v>
      </c>
      <c r="M6">
        <v>0</v>
      </c>
      <c r="N6">
        <v>0</v>
      </c>
      <c r="O6">
        <v>0</v>
      </c>
      <c r="P6" s="1"/>
      <c r="Q6" s="1"/>
      <c r="S6" t="s">
        <v>7</v>
      </c>
      <c r="T6">
        <v>0.14751321888723312</v>
      </c>
      <c r="U6">
        <v>0</v>
      </c>
      <c r="V6">
        <v>0</v>
      </c>
      <c r="W6">
        <v>0</v>
      </c>
      <c r="X6">
        <v>-0.66102856586934355</v>
      </c>
      <c r="Y6">
        <v>0</v>
      </c>
      <c r="Z6">
        <v>3.1967942697718259</v>
      </c>
      <c r="AA6">
        <v>0</v>
      </c>
      <c r="AB6">
        <v>0</v>
      </c>
      <c r="AC6">
        <v>-0.49513866025357683</v>
      </c>
      <c r="AD6">
        <v>-2.7644773358532286</v>
      </c>
      <c r="AE6">
        <v>0</v>
      </c>
      <c r="AF6">
        <v>0</v>
      </c>
      <c r="AG6">
        <v>0</v>
      </c>
    </row>
    <row r="7" spans="1:35" x14ac:dyDescent="0.3">
      <c r="A7" t="s">
        <v>8</v>
      </c>
      <c r="B7">
        <v>0</v>
      </c>
      <c r="C7">
        <v>0</v>
      </c>
      <c r="D7">
        <v>0</v>
      </c>
      <c r="E7">
        <v>0</v>
      </c>
      <c r="F7">
        <v>0.87760020862090182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/>
      <c r="Q7" s="1"/>
      <c r="S7" t="s">
        <v>8</v>
      </c>
      <c r="T7">
        <v>0</v>
      </c>
      <c r="U7">
        <v>0</v>
      </c>
      <c r="V7">
        <v>0</v>
      </c>
      <c r="W7">
        <v>0</v>
      </c>
      <c r="X7">
        <v>0.7438753131725957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5" x14ac:dyDescent="0.3">
      <c r="A8" t="s">
        <v>56</v>
      </c>
      <c r="B8">
        <v>0</v>
      </c>
      <c r="C8">
        <v>0</v>
      </c>
      <c r="D8">
        <v>3.7431238912035397E-2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/>
      <c r="Q8" s="1"/>
      <c r="S8" t="s">
        <v>56</v>
      </c>
      <c r="T8">
        <v>0</v>
      </c>
      <c r="U8">
        <v>0</v>
      </c>
      <c r="V8">
        <v>5.576752542996944E-2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5" x14ac:dyDescent="0.3">
      <c r="A9" t="s">
        <v>9</v>
      </c>
      <c r="B9">
        <v>0</v>
      </c>
      <c r="C9">
        <v>-2.3911879276559449</v>
      </c>
      <c r="D9">
        <v>0</v>
      </c>
      <c r="E9">
        <v>0</v>
      </c>
      <c r="F9">
        <v>0.19574309530134421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/>
      <c r="Q9" s="1"/>
      <c r="S9" t="s">
        <v>9</v>
      </c>
      <c r="T9">
        <v>0</v>
      </c>
      <c r="U9">
        <v>-3.3992062505803697</v>
      </c>
      <c r="V9">
        <v>0</v>
      </c>
      <c r="W9">
        <v>0</v>
      </c>
      <c r="X9">
        <v>0.21158997158869031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5" x14ac:dyDescent="0.3">
      <c r="A10" t="s">
        <v>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0.53580583893763489</v>
      </c>
      <c r="O10">
        <v>0</v>
      </c>
      <c r="P10" s="1"/>
      <c r="Q10" s="1"/>
      <c r="S10" t="s">
        <v>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0.69106927693269604</v>
      </c>
      <c r="AG10">
        <v>0</v>
      </c>
    </row>
    <row r="11" spans="1:35" x14ac:dyDescent="0.3">
      <c r="A11" t="s">
        <v>10</v>
      </c>
      <c r="B11">
        <v>-6.1652216175909297E-2</v>
      </c>
      <c r="C11">
        <v>0</v>
      </c>
      <c r="D11">
        <v>0</v>
      </c>
      <c r="E11">
        <v>0</v>
      </c>
      <c r="F11">
        <v>0</v>
      </c>
      <c r="G11">
        <v>0</v>
      </c>
      <c r="H11">
        <v>0.88800559126708223</v>
      </c>
      <c r="I11">
        <v>0</v>
      </c>
      <c r="J11">
        <v>0</v>
      </c>
      <c r="K11">
        <v>-0.42485101241941398</v>
      </c>
      <c r="L11">
        <v>0</v>
      </c>
      <c r="M11">
        <v>0</v>
      </c>
      <c r="N11">
        <v>0</v>
      </c>
      <c r="O11">
        <v>0</v>
      </c>
      <c r="P11" s="1"/>
      <c r="Q11" s="1"/>
      <c r="S11" t="s">
        <v>10</v>
      </c>
      <c r="T11">
        <v>-6.1378069585554959E-2</v>
      </c>
      <c r="U11">
        <v>0</v>
      </c>
      <c r="V11">
        <v>0</v>
      </c>
      <c r="W11">
        <v>0</v>
      </c>
      <c r="X11">
        <v>0</v>
      </c>
      <c r="Y11">
        <v>0</v>
      </c>
      <c r="Z11">
        <v>1.2085921731591784</v>
      </c>
      <c r="AA11">
        <v>0</v>
      </c>
      <c r="AB11">
        <v>0</v>
      </c>
      <c r="AC11">
        <v>-0.31581847960864662</v>
      </c>
      <c r="AD11">
        <v>0</v>
      </c>
      <c r="AE11">
        <v>0</v>
      </c>
      <c r="AF11">
        <v>0</v>
      </c>
      <c r="AG11">
        <v>0</v>
      </c>
    </row>
    <row r="12" spans="1:35" x14ac:dyDescent="0.3">
      <c r="A12" t="s">
        <v>58</v>
      </c>
      <c r="B12">
        <v>-0.28712365475626156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/>
      <c r="Q12" s="1"/>
      <c r="S12" t="s">
        <v>58</v>
      </c>
      <c r="T12">
        <v>-0.23161806753038197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5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-1.1129634538622215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/>
      <c r="Q13" s="1"/>
      <c r="S13" t="s">
        <v>11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-0.79059883702397815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5" x14ac:dyDescent="0.3">
      <c r="A14" t="s">
        <v>59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0.28906297004373716</v>
      </c>
      <c r="K14">
        <v>0</v>
      </c>
      <c r="L14">
        <v>0</v>
      </c>
      <c r="M14">
        <v>0</v>
      </c>
      <c r="N14">
        <v>0</v>
      </c>
      <c r="O14">
        <v>0</v>
      </c>
      <c r="P14" s="1"/>
      <c r="Q14" s="1"/>
      <c r="S14" t="s">
        <v>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0.76589785051500092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5" x14ac:dyDescent="0.3">
      <c r="A15" t="s">
        <v>12</v>
      </c>
      <c r="B15">
        <v>0.2432893343088586</v>
      </c>
      <c r="C15">
        <v>0</v>
      </c>
      <c r="D15">
        <v>0</v>
      </c>
      <c r="E15">
        <v>0</v>
      </c>
      <c r="F15">
        <v>0</v>
      </c>
      <c r="G15">
        <v>0</v>
      </c>
      <c r="H15">
        <v>-0.31853415674908842</v>
      </c>
      <c r="I15">
        <v>0</v>
      </c>
      <c r="J15">
        <v>0</v>
      </c>
      <c r="K15">
        <v>0</v>
      </c>
      <c r="L15">
        <v>-0.97169458651403928</v>
      </c>
      <c r="M15">
        <v>0</v>
      </c>
      <c r="N15">
        <v>0</v>
      </c>
      <c r="O15">
        <v>0</v>
      </c>
      <c r="P15" s="1"/>
      <c r="Q15" s="1"/>
      <c r="S15" t="s">
        <v>12</v>
      </c>
      <c r="T15">
        <v>0.18165460940550121</v>
      </c>
      <c r="U15">
        <v>0</v>
      </c>
      <c r="V15">
        <v>0</v>
      </c>
      <c r="W15">
        <v>0</v>
      </c>
      <c r="X15">
        <v>0</v>
      </c>
      <c r="Y15">
        <v>0</v>
      </c>
      <c r="Z15">
        <v>-0.89832187656836793</v>
      </c>
      <c r="AA15">
        <v>0</v>
      </c>
      <c r="AB15">
        <v>0</v>
      </c>
      <c r="AC15">
        <v>0</v>
      </c>
      <c r="AD15">
        <v>-4.3197690659326735</v>
      </c>
      <c r="AE15">
        <v>0</v>
      </c>
      <c r="AF15">
        <v>0</v>
      </c>
      <c r="AG15">
        <v>0</v>
      </c>
    </row>
    <row r="16" spans="1:35" x14ac:dyDescent="0.3">
      <c r="A16" t="s">
        <v>13</v>
      </c>
      <c r="B16">
        <v>0</v>
      </c>
      <c r="C16">
        <v>0</v>
      </c>
      <c r="D16">
        <v>0</v>
      </c>
      <c r="E16">
        <v>0</v>
      </c>
      <c r="F16">
        <v>0.53988390412077358</v>
      </c>
      <c r="G16">
        <v>0</v>
      </c>
      <c r="H16">
        <v>-1.3840750008823484</v>
      </c>
      <c r="I16">
        <v>0</v>
      </c>
      <c r="J16">
        <v>0</v>
      </c>
      <c r="K16">
        <v>0</v>
      </c>
      <c r="L16" s="2">
        <v>0.33567845732770735</v>
      </c>
      <c r="M16">
        <v>0</v>
      </c>
      <c r="N16">
        <v>0</v>
      </c>
      <c r="O16">
        <v>0</v>
      </c>
      <c r="P16" s="1"/>
      <c r="Q16" s="1"/>
      <c r="S16" t="s">
        <v>13</v>
      </c>
      <c r="T16">
        <v>0</v>
      </c>
      <c r="U16">
        <v>0</v>
      </c>
      <c r="V16">
        <v>0</v>
      </c>
      <c r="W16">
        <v>0</v>
      </c>
      <c r="X16">
        <v>0.61727416281388348</v>
      </c>
      <c r="Y16">
        <v>0</v>
      </c>
      <c r="Z16">
        <v>-2.0856754472723242</v>
      </c>
      <c r="AA16">
        <v>0</v>
      </c>
      <c r="AB16">
        <v>0</v>
      </c>
      <c r="AC16">
        <v>0</v>
      </c>
      <c r="AD16" s="2">
        <v>-0.10544107014441266</v>
      </c>
      <c r="AE16">
        <v>0</v>
      </c>
      <c r="AF16">
        <v>0</v>
      </c>
      <c r="AG16">
        <v>0</v>
      </c>
    </row>
    <row r="17" spans="1:3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1"/>
      <c r="N17" s="1"/>
      <c r="O17" s="1"/>
      <c r="P17" s="1"/>
      <c r="Q17" s="1"/>
      <c r="AD17" s="2"/>
    </row>
    <row r="18" spans="1:3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20" spans="1:35" x14ac:dyDescent="0.3">
      <c r="A20" s="17" t="s">
        <v>29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S20" s="17" t="s">
        <v>30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x14ac:dyDescent="0.3">
      <c r="A21" t="s">
        <v>26</v>
      </c>
      <c r="B21" t="s">
        <v>5</v>
      </c>
      <c r="C21" t="s">
        <v>55</v>
      </c>
      <c r="D21" t="s">
        <v>6</v>
      </c>
      <c r="E21" t="s">
        <v>7</v>
      </c>
      <c r="F21" t="s">
        <v>8</v>
      </c>
      <c r="G21" t="s">
        <v>56</v>
      </c>
      <c r="H21" t="s">
        <v>9</v>
      </c>
      <c r="I21" t="s">
        <v>57</v>
      </c>
      <c r="J21" t="s">
        <v>10</v>
      </c>
      <c r="K21" t="s">
        <v>58</v>
      </c>
      <c r="L21" t="s">
        <v>11</v>
      </c>
      <c r="M21" t="s">
        <v>59</v>
      </c>
      <c r="N21" t="s">
        <v>12</v>
      </c>
      <c r="O21" t="s">
        <v>13</v>
      </c>
      <c r="P21" s="1"/>
      <c r="Q21" s="1"/>
      <c r="S21" t="s">
        <v>26</v>
      </c>
      <c r="T21" t="s">
        <v>5</v>
      </c>
      <c r="U21" t="s">
        <v>55</v>
      </c>
      <c r="V21" t="s">
        <v>6</v>
      </c>
      <c r="W21" t="s">
        <v>7</v>
      </c>
      <c r="X21" t="s">
        <v>8</v>
      </c>
      <c r="Y21" t="s">
        <v>56</v>
      </c>
      <c r="Z21" t="s">
        <v>9</v>
      </c>
      <c r="AA21" t="s">
        <v>57</v>
      </c>
      <c r="AB21" t="s">
        <v>10</v>
      </c>
      <c r="AC21" t="s">
        <v>58</v>
      </c>
      <c r="AD21" t="s">
        <v>11</v>
      </c>
      <c r="AE21" t="s">
        <v>59</v>
      </c>
      <c r="AF21" t="s">
        <v>12</v>
      </c>
      <c r="AG21" t="s">
        <v>13</v>
      </c>
      <c r="AH21" s="1"/>
      <c r="AI21" s="1"/>
    </row>
    <row r="22" spans="1:35" x14ac:dyDescent="0.3">
      <c r="A22" t="s">
        <v>5</v>
      </c>
      <c r="B22">
        <v>0</v>
      </c>
      <c r="C22">
        <v>0</v>
      </c>
      <c r="D22">
        <v>0</v>
      </c>
      <c r="E22">
        <v>0</v>
      </c>
      <c r="F22">
        <v>0.68187018212113626</v>
      </c>
      <c r="G22">
        <v>0</v>
      </c>
      <c r="H22">
        <v>-1.3339747003076681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1"/>
      <c r="Q22" s="1"/>
      <c r="S22" t="s">
        <v>5</v>
      </c>
      <c r="T22">
        <v>0</v>
      </c>
      <c r="U22">
        <v>0</v>
      </c>
      <c r="V22">
        <v>0</v>
      </c>
      <c r="W22">
        <v>0</v>
      </c>
      <c r="X22">
        <v>0.78588277422537989</v>
      </c>
      <c r="Y22">
        <v>0</v>
      </c>
      <c r="Z22">
        <v>-2.2921417339702042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s="1"/>
      <c r="AI22" s="1"/>
    </row>
    <row r="23" spans="1:35" x14ac:dyDescent="0.3">
      <c r="A23" t="s">
        <v>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1"/>
      <c r="Q23" s="1"/>
      <c r="S23" t="s">
        <v>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"/>
      <c r="AI23" s="1"/>
    </row>
    <row r="24" spans="1:35" x14ac:dyDescent="0.3">
      <c r="A24" t="s">
        <v>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0.24570551758541972</v>
      </c>
      <c r="O24">
        <v>0</v>
      </c>
      <c r="P24" s="1"/>
      <c r="Q24" s="1"/>
      <c r="S24" t="s">
        <v>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0.59597833091298014</v>
      </c>
      <c r="AG24">
        <v>0</v>
      </c>
      <c r="AH24" s="1"/>
      <c r="AI24" s="1"/>
    </row>
    <row r="25" spans="1:35" x14ac:dyDescent="0.3">
      <c r="A25" t="s">
        <v>7</v>
      </c>
      <c r="B25">
        <v>3.1865194317558222E-2</v>
      </c>
      <c r="C25">
        <v>0</v>
      </c>
      <c r="D25">
        <v>0</v>
      </c>
      <c r="E25">
        <v>0</v>
      </c>
      <c r="F25">
        <v>-0.27672273493358945</v>
      </c>
      <c r="G25">
        <v>0</v>
      </c>
      <c r="H25">
        <v>1.3669718027115922</v>
      </c>
      <c r="I25">
        <v>0</v>
      </c>
      <c r="J25">
        <v>0</v>
      </c>
      <c r="K25">
        <v>-1.0196334851106623</v>
      </c>
      <c r="L25">
        <v>-1.4252631011315533</v>
      </c>
      <c r="M25">
        <v>0</v>
      </c>
      <c r="N25">
        <v>0</v>
      </c>
      <c r="O25">
        <v>0</v>
      </c>
      <c r="P25" s="1"/>
      <c r="Q25" s="1"/>
      <c r="S25" t="s">
        <v>7</v>
      </c>
      <c r="T25">
        <v>6.5449455119696798E-2</v>
      </c>
      <c r="U25">
        <v>0</v>
      </c>
      <c r="V25">
        <v>0</v>
      </c>
      <c r="W25">
        <v>0</v>
      </c>
      <c r="X25">
        <v>-0.56827765670788499</v>
      </c>
      <c r="Y25">
        <v>0</v>
      </c>
      <c r="Z25">
        <v>3.1311127838156603</v>
      </c>
      <c r="AA25">
        <v>0</v>
      </c>
      <c r="AB25">
        <v>0</v>
      </c>
      <c r="AC25">
        <v>-0.88448321908037553</v>
      </c>
      <c r="AD25">
        <v>-2.4659255794129731</v>
      </c>
      <c r="AE25">
        <v>0</v>
      </c>
      <c r="AF25">
        <v>0</v>
      </c>
      <c r="AG25">
        <v>0</v>
      </c>
      <c r="AH25" s="1"/>
      <c r="AI25" s="1"/>
    </row>
    <row r="26" spans="1:35" x14ac:dyDescent="0.3">
      <c r="A26" t="s">
        <v>8</v>
      </c>
      <c r="B26">
        <v>0</v>
      </c>
      <c r="C26">
        <v>0</v>
      </c>
      <c r="D26">
        <v>0</v>
      </c>
      <c r="E26">
        <v>0</v>
      </c>
      <c r="F26">
        <v>0.8773434949182759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1"/>
      <c r="Q26" s="1"/>
      <c r="S26" t="s">
        <v>8</v>
      </c>
      <c r="T26">
        <v>0</v>
      </c>
      <c r="U26">
        <v>0</v>
      </c>
      <c r="V26">
        <v>0</v>
      </c>
      <c r="W26">
        <v>0</v>
      </c>
      <c r="X26">
        <v>0.73399244765197558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1"/>
      <c r="AI26" s="1"/>
    </row>
    <row r="27" spans="1:35" x14ac:dyDescent="0.3">
      <c r="A27" t="s">
        <v>56</v>
      </c>
      <c r="B27">
        <v>0</v>
      </c>
      <c r="C27">
        <v>0</v>
      </c>
      <c r="D27">
        <v>3.7671175033375671E-2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"/>
      <c r="Q27" s="1"/>
      <c r="S27" t="s">
        <v>56</v>
      </c>
      <c r="T27">
        <v>0</v>
      </c>
      <c r="U27">
        <v>0</v>
      </c>
      <c r="V27">
        <v>5.5964833745667075E-2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s="1"/>
      <c r="AI27" s="1"/>
    </row>
    <row r="28" spans="1:35" x14ac:dyDescent="0.3">
      <c r="A28" t="s">
        <v>9</v>
      </c>
      <c r="B28">
        <v>0</v>
      </c>
      <c r="C28">
        <v>-2.2859301187216725</v>
      </c>
      <c r="D28">
        <v>0</v>
      </c>
      <c r="E28">
        <v>0</v>
      </c>
      <c r="F28">
        <v>0.19664003765525306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1"/>
      <c r="Q28" s="1"/>
      <c r="S28" t="s">
        <v>9</v>
      </c>
      <c r="T28">
        <v>0</v>
      </c>
      <c r="U28">
        <v>-3.1710234498746876</v>
      </c>
      <c r="V28">
        <v>0</v>
      </c>
      <c r="W28">
        <v>0</v>
      </c>
      <c r="X28">
        <v>0.19520802540621687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s="1"/>
      <c r="AI28" s="1"/>
    </row>
    <row r="29" spans="1:35" x14ac:dyDescent="0.3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0.53039534435095304</v>
      </c>
      <c r="O29">
        <v>0</v>
      </c>
      <c r="P29" s="1"/>
      <c r="Q29" s="1"/>
      <c r="S29" t="s">
        <v>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0.69925218889113006</v>
      </c>
      <c r="AG29">
        <v>0</v>
      </c>
      <c r="AH29" s="1"/>
      <c r="AI29" s="1"/>
    </row>
    <row r="30" spans="1:35" x14ac:dyDescent="0.3">
      <c r="A30" t="s">
        <v>10</v>
      </c>
      <c r="B30">
        <v>-6.8813005849881481E-2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0.88726244238913032</v>
      </c>
      <c r="I30">
        <v>0</v>
      </c>
      <c r="J30">
        <v>0</v>
      </c>
      <c r="K30">
        <v>-0.43030077623370155</v>
      </c>
      <c r="L30">
        <v>0</v>
      </c>
      <c r="M30">
        <v>0</v>
      </c>
      <c r="N30">
        <v>0</v>
      </c>
      <c r="O30">
        <v>0</v>
      </c>
      <c r="P30" s="1"/>
      <c r="Q30" s="1"/>
      <c r="S30" t="s">
        <v>10</v>
      </c>
      <c r="T30">
        <v>-0.12049748519840234</v>
      </c>
      <c r="U30">
        <v>0</v>
      </c>
      <c r="V30">
        <v>0</v>
      </c>
      <c r="W30">
        <v>0</v>
      </c>
      <c r="X30">
        <v>0</v>
      </c>
      <c r="Y30">
        <v>0</v>
      </c>
      <c r="Z30" s="2">
        <v>-4.5621171287989579E-2</v>
      </c>
      <c r="AA30">
        <v>0</v>
      </c>
      <c r="AB30">
        <v>0</v>
      </c>
      <c r="AC30">
        <v>-0.85888109069477525</v>
      </c>
      <c r="AD30">
        <v>0</v>
      </c>
      <c r="AE30">
        <v>0</v>
      </c>
      <c r="AF30">
        <v>0</v>
      </c>
      <c r="AG30">
        <v>0</v>
      </c>
      <c r="AH30" s="1"/>
      <c r="AI30" s="1"/>
    </row>
    <row r="31" spans="1:35" x14ac:dyDescent="0.3">
      <c r="A31" t="s">
        <v>58</v>
      </c>
      <c r="B31">
        <v>-0.30448756484662337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"/>
      <c r="Q31" s="1"/>
      <c r="S31" t="s">
        <v>58</v>
      </c>
      <c r="T31">
        <v>-0.21321951227621766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s="1"/>
      <c r="AI31" s="1"/>
    </row>
    <row r="32" spans="1:35" x14ac:dyDescent="0.3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-1.0925358375551804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"/>
      <c r="Q32" s="1"/>
      <c r="S32" t="s">
        <v>11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-0.78074367635773712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1"/>
      <c r="AI32" s="1"/>
    </row>
    <row r="33" spans="1:35" x14ac:dyDescent="0.3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2">
        <v>0.30431566236530305</v>
      </c>
      <c r="K33">
        <v>0</v>
      </c>
      <c r="L33">
        <v>0</v>
      </c>
      <c r="M33">
        <v>0</v>
      </c>
      <c r="N33">
        <v>0</v>
      </c>
      <c r="O33">
        <v>0</v>
      </c>
      <c r="P33" s="1"/>
      <c r="Q33" s="1"/>
      <c r="S33" t="s">
        <v>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2">
        <v>-1.6543312496498603</v>
      </c>
      <c r="AC33">
        <v>0</v>
      </c>
      <c r="AD33">
        <v>0</v>
      </c>
      <c r="AE33">
        <v>0</v>
      </c>
      <c r="AF33">
        <v>0</v>
      </c>
      <c r="AG33">
        <v>0</v>
      </c>
      <c r="AH33" s="1"/>
      <c r="AI33" s="1"/>
    </row>
    <row r="34" spans="1:35" x14ac:dyDescent="0.3">
      <c r="A34" t="s">
        <v>12</v>
      </c>
      <c r="B34">
        <v>0.24198708538438077</v>
      </c>
      <c r="C34">
        <v>0</v>
      </c>
      <c r="D34">
        <v>0</v>
      </c>
      <c r="E34">
        <v>0</v>
      </c>
      <c r="F34">
        <v>0</v>
      </c>
      <c r="G34">
        <v>0</v>
      </c>
      <c r="H34">
        <v>-0.23283113560473068</v>
      </c>
      <c r="I34">
        <v>0</v>
      </c>
      <c r="J34">
        <v>0</v>
      </c>
      <c r="K34">
        <v>0</v>
      </c>
      <c r="L34">
        <v>-0.99492789039019358</v>
      </c>
      <c r="M34">
        <v>0</v>
      </c>
      <c r="N34">
        <v>0</v>
      </c>
      <c r="O34">
        <v>0</v>
      </c>
      <c r="P34" s="1"/>
      <c r="Q34" s="1"/>
      <c r="S34" t="s">
        <v>12</v>
      </c>
      <c r="T34">
        <v>0.17612174262627814</v>
      </c>
      <c r="U34">
        <v>0</v>
      </c>
      <c r="V34">
        <v>0</v>
      </c>
      <c r="W34">
        <v>0</v>
      </c>
      <c r="X34">
        <v>0</v>
      </c>
      <c r="Y34">
        <v>0</v>
      </c>
      <c r="Z34">
        <v>-0.92216574558467457</v>
      </c>
      <c r="AA34">
        <v>0</v>
      </c>
      <c r="AB34">
        <v>0</v>
      </c>
      <c r="AC34">
        <v>0</v>
      </c>
      <c r="AD34">
        <v>-4.3310418023722788</v>
      </c>
      <c r="AE34">
        <v>0</v>
      </c>
      <c r="AF34">
        <v>0</v>
      </c>
      <c r="AG34">
        <v>0</v>
      </c>
      <c r="AH34" s="1"/>
      <c r="AI34" s="1"/>
    </row>
    <row r="35" spans="1:35" x14ac:dyDescent="0.3">
      <c r="A35" t="s">
        <v>13</v>
      </c>
      <c r="B35">
        <v>0</v>
      </c>
      <c r="C35">
        <v>0</v>
      </c>
      <c r="D35">
        <v>0</v>
      </c>
      <c r="E35">
        <v>0</v>
      </c>
      <c r="F35">
        <v>0.53080201519610626</v>
      </c>
      <c r="G35">
        <v>0</v>
      </c>
      <c r="H35">
        <v>-1.2727516728794406</v>
      </c>
      <c r="I35">
        <v>0</v>
      </c>
      <c r="J35">
        <v>0</v>
      </c>
      <c r="K35">
        <v>0</v>
      </c>
      <c r="L35">
        <v>0.31016112914784039</v>
      </c>
      <c r="M35">
        <v>0</v>
      </c>
      <c r="N35">
        <v>0</v>
      </c>
      <c r="O35">
        <v>0</v>
      </c>
      <c r="P35" s="1"/>
      <c r="Q35" s="1"/>
      <c r="S35" t="s">
        <v>13</v>
      </c>
      <c r="T35">
        <v>0</v>
      </c>
      <c r="U35">
        <v>0</v>
      </c>
      <c r="V35">
        <v>0</v>
      </c>
      <c r="W35">
        <v>0</v>
      </c>
      <c r="X35">
        <v>0.58064512968927007</v>
      </c>
      <c r="Y35">
        <v>0</v>
      </c>
      <c r="Z35">
        <v>-1.9621209556515</v>
      </c>
      <c r="AA35">
        <v>0</v>
      </c>
      <c r="AB35">
        <v>0</v>
      </c>
      <c r="AC35">
        <v>0</v>
      </c>
      <c r="AD35">
        <v>6.6618114755436645E-3</v>
      </c>
      <c r="AE35">
        <v>0</v>
      </c>
      <c r="AF35">
        <v>0</v>
      </c>
      <c r="AG35">
        <v>0</v>
      </c>
      <c r="AH35" s="1"/>
      <c r="AI35" s="1"/>
    </row>
    <row r="36" spans="1:3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1"/>
      <c r="N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/>
      <c r="AE36" s="1"/>
      <c r="AF36" s="1"/>
      <c r="AG36" s="1"/>
      <c r="AH36" s="1"/>
      <c r="AI36" s="1"/>
    </row>
    <row r="37" spans="1:3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9" spans="1:35" x14ac:dyDescent="0.3">
      <c r="A39" s="17" t="s">
        <v>31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S39" s="17" t="s">
        <v>32</v>
      </c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</row>
    <row r="40" spans="1:35" x14ac:dyDescent="0.3">
      <c r="A40" t="s">
        <v>26</v>
      </c>
      <c r="B40" t="s">
        <v>5</v>
      </c>
      <c r="C40" t="s">
        <v>55</v>
      </c>
      <c r="D40" t="s">
        <v>6</v>
      </c>
      <c r="E40" t="s">
        <v>7</v>
      </c>
      <c r="F40" t="s">
        <v>8</v>
      </c>
      <c r="G40" t="s">
        <v>56</v>
      </c>
      <c r="H40" t="s">
        <v>9</v>
      </c>
      <c r="I40" t="s">
        <v>57</v>
      </c>
      <c r="J40" t="s">
        <v>10</v>
      </c>
      <c r="K40" t="s">
        <v>58</v>
      </c>
      <c r="L40" t="s">
        <v>11</v>
      </c>
      <c r="M40" t="s">
        <v>59</v>
      </c>
      <c r="N40" t="s">
        <v>12</v>
      </c>
      <c r="O40" t="s">
        <v>13</v>
      </c>
      <c r="P40" s="1"/>
      <c r="Q40" s="1"/>
      <c r="S40" t="s">
        <v>26</v>
      </c>
      <c r="T40" t="s">
        <v>5</v>
      </c>
      <c r="U40" t="s">
        <v>55</v>
      </c>
      <c r="V40" t="s">
        <v>6</v>
      </c>
      <c r="W40" t="s">
        <v>7</v>
      </c>
      <c r="X40" t="s">
        <v>8</v>
      </c>
      <c r="Y40" t="s">
        <v>56</v>
      </c>
      <c r="Z40" t="s">
        <v>9</v>
      </c>
      <c r="AA40" t="s">
        <v>57</v>
      </c>
      <c r="AB40" t="s">
        <v>10</v>
      </c>
      <c r="AC40" t="s">
        <v>58</v>
      </c>
      <c r="AD40" t="s">
        <v>11</v>
      </c>
      <c r="AE40" t="s">
        <v>59</v>
      </c>
      <c r="AF40" t="s">
        <v>12</v>
      </c>
      <c r="AG40" t="s">
        <v>13</v>
      </c>
      <c r="AH40" s="1"/>
      <c r="AI40" s="1"/>
    </row>
    <row r="41" spans="1:35" x14ac:dyDescent="0.3">
      <c r="A41" t="s">
        <v>5</v>
      </c>
      <c r="B41">
        <f>B22-B3</f>
        <v>0</v>
      </c>
      <c r="C41">
        <f t="shared" ref="C41:O54" si="0">C22-C3</f>
        <v>0</v>
      </c>
      <c r="D41">
        <f t="shared" si="0"/>
        <v>0</v>
      </c>
      <c r="E41">
        <f t="shared" si="0"/>
        <v>0</v>
      </c>
      <c r="F41">
        <f t="shared" si="0"/>
        <v>1.8364852525829645E-2</v>
      </c>
      <c r="G41">
        <f t="shared" si="0"/>
        <v>0</v>
      </c>
      <c r="H41">
        <f t="shared" si="0"/>
        <v>6.5368231618383454E-2</v>
      </c>
      <c r="I41">
        <f t="shared" si="0"/>
        <v>0</v>
      </c>
      <c r="J41">
        <f>J22-J3</f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S41" t="s">
        <v>5</v>
      </c>
      <c r="T41">
        <f>T22-T3</f>
        <v>0</v>
      </c>
      <c r="U41">
        <f t="shared" ref="U41:AG41" si="1">U22-U3</f>
        <v>0</v>
      </c>
      <c r="V41">
        <f t="shared" si="1"/>
        <v>0</v>
      </c>
      <c r="W41">
        <f t="shared" si="1"/>
        <v>0</v>
      </c>
      <c r="X41">
        <f t="shared" si="1"/>
        <v>5.5298925871970495E-3</v>
      </c>
      <c r="Y41">
        <f t="shared" si="1"/>
        <v>0</v>
      </c>
      <c r="Z41">
        <f t="shared" si="1"/>
        <v>-6.3826890358368971E-2</v>
      </c>
      <c r="AA41">
        <f t="shared" si="1"/>
        <v>0</v>
      </c>
      <c r="AB41">
        <f t="shared" si="1"/>
        <v>0</v>
      </c>
      <c r="AC41">
        <f t="shared" si="1"/>
        <v>0</v>
      </c>
      <c r="AD41">
        <f t="shared" si="1"/>
        <v>0</v>
      </c>
      <c r="AE41">
        <f t="shared" si="1"/>
        <v>0</v>
      </c>
      <c r="AF41">
        <f t="shared" si="1"/>
        <v>0</v>
      </c>
      <c r="AG41">
        <f t="shared" si="1"/>
        <v>0</v>
      </c>
    </row>
    <row r="42" spans="1:35" x14ac:dyDescent="0.3">
      <c r="A42" t="s">
        <v>55</v>
      </c>
      <c r="B42">
        <f t="shared" ref="B42:O54" si="2">B23-B4</f>
        <v>0</v>
      </c>
      <c r="C42">
        <f t="shared" si="2"/>
        <v>0</v>
      </c>
      <c r="D42">
        <f t="shared" si="2"/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S42" t="s">
        <v>55</v>
      </c>
      <c r="T42">
        <f t="shared" ref="T42:AG42" si="3">T23-T4</f>
        <v>0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3"/>
        <v>0</v>
      </c>
      <c r="AC42">
        <f t="shared" si="3"/>
        <v>0</v>
      </c>
      <c r="AD42">
        <f t="shared" si="3"/>
        <v>0</v>
      </c>
      <c r="AE42">
        <f t="shared" si="3"/>
        <v>0</v>
      </c>
      <c r="AF42">
        <f t="shared" si="3"/>
        <v>0</v>
      </c>
      <c r="AG42">
        <f t="shared" si="3"/>
        <v>0</v>
      </c>
    </row>
    <row r="43" spans="1:35" x14ac:dyDescent="0.3">
      <c r="A43" t="s">
        <v>6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0</v>
      </c>
      <c r="J43">
        <f t="shared" si="0"/>
        <v>0</v>
      </c>
      <c r="K43">
        <f t="shared" si="0"/>
        <v>0</v>
      </c>
      <c r="L43">
        <f t="shared" si="0"/>
        <v>0</v>
      </c>
      <c r="M43">
        <f t="shared" si="0"/>
        <v>0</v>
      </c>
      <c r="N43">
        <f t="shared" si="0"/>
        <v>1.2989875303759502E-2</v>
      </c>
      <c r="O43">
        <f t="shared" si="0"/>
        <v>0</v>
      </c>
      <c r="S43" t="s">
        <v>6</v>
      </c>
      <c r="T43">
        <f t="shared" ref="T43:AG43" si="4">T24-T5</f>
        <v>0</v>
      </c>
      <c r="U43">
        <f t="shared" si="4"/>
        <v>0</v>
      </c>
      <c r="V43">
        <f t="shared" si="4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0</v>
      </c>
      <c r="AC43">
        <f t="shared" si="4"/>
        <v>0</v>
      </c>
      <c r="AD43">
        <f t="shared" si="4"/>
        <v>0</v>
      </c>
      <c r="AE43">
        <f t="shared" si="4"/>
        <v>0</v>
      </c>
      <c r="AF43">
        <f t="shared" si="4"/>
        <v>2.0097486278138788E-2</v>
      </c>
      <c r="AG43">
        <f t="shared" si="4"/>
        <v>0</v>
      </c>
    </row>
    <row r="44" spans="1:35" x14ac:dyDescent="0.3">
      <c r="A44" t="s">
        <v>7</v>
      </c>
      <c r="B44">
        <f t="shared" si="2"/>
        <v>-3.9708631889373965E-2</v>
      </c>
      <c r="C44">
        <f t="shared" si="0"/>
        <v>0</v>
      </c>
      <c r="D44">
        <f t="shared" si="0"/>
        <v>0</v>
      </c>
      <c r="E44">
        <f t="shared" si="0"/>
        <v>0</v>
      </c>
      <c r="F44">
        <f t="shared" si="0"/>
        <v>2.2586279114740149E-2</v>
      </c>
      <c r="G44">
        <f t="shared" si="0"/>
        <v>0</v>
      </c>
      <c r="H44">
        <f t="shared" si="0"/>
        <v>1.1562117210812684E-3</v>
      </c>
      <c r="I44">
        <f t="shared" si="0"/>
        <v>0</v>
      </c>
      <c r="J44">
        <f t="shared" si="0"/>
        <v>0</v>
      </c>
      <c r="K44">
        <f t="shared" si="0"/>
        <v>-0.11554819048539355</v>
      </c>
      <c r="L44" s="5">
        <f t="shared" si="0"/>
        <v>0.14579395283999919</v>
      </c>
      <c r="M44">
        <f t="shared" si="0"/>
        <v>0</v>
      </c>
      <c r="N44">
        <f t="shared" si="0"/>
        <v>0</v>
      </c>
      <c r="O44">
        <f t="shared" si="0"/>
        <v>0</v>
      </c>
      <c r="S44" t="s">
        <v>7</v>
      </c>
      <c r="T44">
        <f>T25-T6</f>
        <v>-8.2063763767536324E-2</v>
      </c>
      <c r="U44">
        <f t="shared" ref="U44:AG44" si="5">U25-U6</f>
        <v>0</v>
      </c>
      <c r="V44">
        <f t="shared" si="5"/>
        <v>0</v>
      </c>
      <c r="W44">
        <f t="shared" si="5"/>
        <v>0</v>
      </c>
      <c r="X44">
        <f t="shared" si="5"/>
        <v>9.2750909161458561E-2</v>
      </c>
      <c r="Y44">
        <f t="shared" si="5"/>
        <v>0</v>
      </c>
      <c r="Z44">
        <f t="shared" si="5"/>
        <v>-6.5681485956165631E-2</v>
      </c>
      <c r="AA44">
        <f t="shared" si="5"/>
        <v>0</v>
      </c>
      <c r="AB44">
        <f t="shared" si="5"/>
        <v>0</v>
      </c>
      <c r="AC44">
        <f t="shared" si="5"/>
        <v>-0.38934455882679869</v>
      </c>
      <c r="AD44">
        <f t="shared" si="5"/>
        <v>0.29855175644025556</v>
      </c>
      <c r="AE44">
        <f t="shared" si="5"/>
        <v>0</v>
      </c>
      <c r="AF44">
        <f t="shared" si="5"/>
        <v>0</v>
      </c>
      <c r="AG44">
        <f t="shared" si="5"/>
        <v>0</v>
      </c>
    </row>
    <row r="45" spans="1:35" x14ac:dyDescent="0.3">
      <c r="A45" t="s">
        <v>8</v>
      </c>
      <c r="B45">
        <f t="shared" si="2"/>
        <v>0</v>
      </c>
      <c r="C45">
        <f t="shared" si="0"/>
        <v>0</v>
      </c>
      <c r="D45">
        <f t="shared" si="0"/>
        <v>0</v>
      </c>
      <c r="E45">
        <f t="shared" si="0"/>
        <v>0</v>
      </c>
      <c r="F45">
        <f t="shared" si="0"/>
        <v>-2.5671370262592141E-4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0</v>
      </c>
      <c r="M45">
        <f t="shared" si="0"/>
        <v>0</v>
      </c>
      <c r="N45">
        <f t="shared" si="0"/>
        <v>0</v>
      </c>
      <c r="O45">
        <f t="shared" si="0"/>
        <v>0</v>
      </c>
      <c r="S45" t="s">
        <v>8</v>
      </c>
      <c r="T45">
        <f t="shared" ref="T45:AG45" si="6">T26-T7</f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-9.882865520620121E-3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</v>
      </c>
      <c r="AG45">
        <f t="shared" si="6"/>
        <v>0</v>
      </c>
    </row>
    <row r="46" spans="1:35" x14ac:dyDescent="0.3">
      <c r="A46" t="s">
        <v>56</v>
      </c>
      <c r="B46">
        <f t="shared" si="2"/>
        <v>0</v>
      </c>
      <c r="C46">
        <f t="shared" si="0"/>
        <v>0</v>
      </c>
      <c r="D46">
        <f t="shared" si="0"/>
        <v>2.3993612134027426E-4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</v>
      </c>
      <c r="I46">
        <f t="shared" si="0"/>
        <v>0</v>
      </c>
      <c r="J46">
        <f t="shared" si="0"/>
        <v>0</v>
      </c>
      <c r="K46">
        <f t="shared" si="0"/>
        <v>0</v>
      </c>
      <c r="L46">
        <f t="shared" si="0"/>
        <v>0</v>
      </c>
      <c r="M46">
        <f t="shared" si="0"/>
        <v>0</v>
      </c>
      <c r="N46">
        <f t="shared" si="0"/>
        <v>0</v>
      </c>
      <c r="O46">
        <f t="shared" si="0"/>
        <v>0</v>
      </c>
      <c r="S46" t="s">
        <v>56</v>
      </c>
      <c r="T46">
        <f t="shared" ref="T46:AG46" si="7">T27-T8</f>
        <v>0</v>
      </c>
      <c r="U46">
        <f t="shared" si="7"/>
        <v>0</v>
      </c>
      <c r="V46">
        <f t="shared" si="7"/>
        <v>1.9730831569763491E-4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0</v>
      </c>
      <c r="AA46">
        <f t="shared" si="7"/>
        <v>0</v>
      </c>
      <c r="AB46">
        <f t="shared" si="7"/>
        <v>0</v>
      </c>
      <c r="AC46">
        <f t="shared" si="7"/>
        <v>0</v>
      </c>
      <c r="AD46">
        <f t="shared" si="7"/>
        <v>0</v>
      </c>
      <c r="AE46">
        <f t="shared" si="7"/>
        <v>0</v>
      </c>
      <c r="AF46">
        <f t="shared" si="7"/>
        <v>0</v>
      </c>
      <c r="AG46">
        <f t="shared" si="7"/>
        <v>0</v>
      </c>
    </row>
    <row r="47" spans="1:35" x14ac:dyDescent="0.3">
      <c r="A47" t="s">
        <v>9</v>
      </c>
      <c r="B47">
        <f t="shared" si="2"/>
        <v>0</v>
      </c>
      <c r="C47">
        <f t="shared" si="0"/>
        <v>0.10525780893427239</v>
      </c>
      <c r="D47">
        <f t="shared" si="0"/>
        <v>0</v>
      </c>
      <c r="E47">
        <f t="shared" si="0"/>
        <v>0</v>
      </c>
      <c r="F47">
        <f t="shared" si="0"/>
        <v>8.9694235390885835E-4</v>
      </c>
      <c r="G47">
        <f t="shared" si="0"/>
        <v>0</v>
      </c>
      <c r="H47">
        <f t="shared" si="0"/>
        <v>0</v>
      </c>
      <c r="I47">
        <f t="shared" si="0"/>
        <v>0</v>
      </c>
      <c r="J47">
        <f t="shared" si="0"/>
        <v>0</v>
      </c>
      <c r="K47">
        <f>K28-K9</f>
        <v>0</v>
      </c>
      <c r="L47">
        <f t="shared" si="0"/>
        <v>0</v>
      </c>
      <c r="M47">
        <f t="shared" si="0"/>
        <v>0</v>
      </c>
      <c r="N47">
        <f t="shared" si="0"/>
        <v>0</v>
      </c>
      <c r="O47">
        <f t="shared" si="0"/>
        <v>0</v>
      </c>
      <c r="S47" t="s">
        <v>9</v>
      </c>
      <c r="T47">
        <f t="shared" ref="T47:AG47" si="8">T28-T9</f>
        <v>0</v>
      </c>
      <c r="U47">
        <f t="shared" si="8"/>
        <v>0.22818280070568209</v>
      </c>
      <c r="V47">
        <f t="shared" si="8"/>
        <v>0</v>
      </c>
      <c r="W47">
        <f t="shared" si="8"/>
        <v>0</v>
      </c>
      <c r="X47">
        <f t="shared" si="8"/>
        <v>-1.6381946182473434E-2</v>
      </c>
      <c r="Y47">
        <f t="shared" si="8"/>
        <v>0</v>
      </c>
      <c r="Z47">
        <f t="shared" si="8"/>
        <v>0</v>
      </c>
      <c r="AA47">
        <f t="shared" si="8"/>
        <v>0</v>
      </c>
      <c r="AB47">
        <f t="shared" si="8"/>
        <v>0</v>
      </c>
      <c r="AC47">
        <f t="shared" si="8"/>
        <v>0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</row>
    <row r="48" spans="1:35" x14ac:dyDescent="0.3">
      <c r="A48" t="s">
        <v>57</v>
      </c>
      <c r="B48">
        <f t="shared" si="2"/>
        <v>0</v>
      </c>
      <c r="C48">
        <f t="shared" si="0"/>
        <v>0</v>
      </c>
      <c r="D48">
        <f t="shared" si="0"/>
        <v>0</v>
      </c>
      <c r="E48">
        <f t="shared" si="0"/>
        <v>0</v>
      </c>
      <c r="F48">
        <f t="shared" si="0"/>
        <v>0</v>
      </c>
      <c r="G48">
        <f t="shared" si="0"/>
        <v>0</v>
      </c>
      <c r="H48">
        <f t="shared" si="0"/>
        <v>0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-5.4104945866818577E-3</v>
      </c>
      <c r="O48">
        <f t="shared" si="0"/>
        <v>0</v>
      </c>
      <c r="S48" t="s">
        <v>57</v>
      </c>
      <c r="T48">
        <f t="shared" ref="T48:AG48" si="9">T29-T10</f>
        <v>0</v>
      </c>
      <c r="U48">
        <f t="shared" si="9"/>
        <v>0</v>
      </c>
      <c r="V48">
        <f t="shared" si="9"/>
        <v>0</v>
      </c>
      <c r="W48">
        <f t="shared" si="9"/>
        <v>0</v>
      </c>
      <c r="X48">
        <f t="shared" si="9"/>
        <v>0</v>
      </c>
      <c r="Y48">
        <f t="shared" si="9"/>
        <v>0</v>
      </c>
      <c r="Z48">
        <f t="shared" si="9"/>
        <v>0</v>
      </c>
      <c r="AA48">
        <f t="shared" si="9"/>
        <v>0</v>
      </c>
      <c r="AB48">
        <f t="shared" si="9"/>
        <v>0</v>
      </c>
      <c r="AC48">
        <f t="shared" si="9"/>
        <v>0</v>
      </c>
      <c r="AD48">
        <f t="shared" si="9"/>
        <v>0</v>
      </c>
      <c r="AE48">
        <f t="shared" si="9"/>
        <v>0</v>
      </c>
      <c r="AF48">
        <f t="shared" si="9"/>
        <v>8.1829119584340138E-3</v>
      </c>
      <c r="AG48">
        <f t="shared" si="9"/>
        <v>0</v>
      </c>
    </row>
    <row r="49" spans="1:35" x14ac:dyDescent="0.3">
      <c r="A49" t="s">
        <v>10</v>
      </c>
      <c r="B49">
        <f t="shared" si="2"/>
        <v>-7.1607896739721844E-3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0</v>
      </c>
      <c r="H49">
        <f t="shared" si="0"/>
        <v>-7.4314887795190465E-4</v>
      </c>
      <c r="I49">
        <f t="shared" si="0"/>
        <v>0</v>
      </c>
      <c r="J49">
        <f t="shared" si="0"/>
        <v>0</v>
      </c>
      <c r="K49">
        <f t="shared" si="0"/>
        <v>-5.4497638142875782E-3</v>
      </c>
      <c r="L49">
        <f t="shared" si="0"/>
        <v>0</v>
      </c>
      <c r="M49">
        <f t="shared" si="0"/>
        <v>0</v>
      </c>
      <c r="N49">
        <f t="shared" si="0"/>
        <v>0</v>
      </c>
      <c r="O49">
        <f t="shared" si="0"/>
        <v>0</v>
      </c>
      <c r="S49" t="s">
        <v>10</v>
      </c>
      <c r="T49">
        <f t="shared" ref="T49:AG49" si="10">T30-T11</f>
        <v>-5.9119415612847379E-2</v>
      </c>
      <c r="U49">
        <f t="shared" si="10"/>
        <v>0</v>
      </c>
      <c r="V49">
        <f t="shared" si="10"/>
        <v>0</v>
      </c>
      <c r="W49">
        <f t="shared" si="10"/>
        <v>0</v>
      </c>
      <c r="X49">
        <f t="shared" si="10"/>
        <v>0</v>
      </c>
      <c r="Y49">
        <f t="shared" si="10"/>
        <v>0</v>
      </c>
      <c r="Z49">
        <f t="shared" si="10"/>
        <v>-1.2542133444471679</v>
      </c>
      <c r="AA49">
        <f t="shared" si="10"/>
        <v>0</v>
      </c>
      <c r="AB49">
        <f t="shared" si="10"/>
        <v>0</v>
      </c>
      <c r="AC49">
        <f t="shared" si="10"/>
        <v>-0.54306261108612863</v>
      </c>
      <c r="AD49">
        <f t="shared" si="10"/>
        <v>0</v>
      </c>
      <c r="AE49">
        <f t="shared" si="10"/>
        <v>0</v>
      </c>
      <c r="AF49">
        <f t="shared" si="10"/>
        <v>0</v>
      </c>
      <c r="AG49">
        <f t="shared" si="10"/>
        <v>0</v>
      </c>
    </row>
    <row r="50" spans="1:35" x14ac:dyDescent="0.3">
      <c r="A50" t="s">
        <v>58</v>
      </c>
      <c r="B50">
        <f t="shared" si="2"/>
        <v>-1.7363910090361812E-2</v>
      </c>
      <c r="C50">
        <f t="shared" si="0"/>
        <v>0</v>
      </c>
      <c r="D50">
        <f t="shared" si="0"/>
        <v>0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0</v>
      </c>
      <c r="L50">
        <f t="shared" si="0"/>
        <v>0</v>
      </c>
      <c r="M50">
        <f t="shared" si="0"/>
        <v>0</v>
      </c>
      <c r="N50">
        <f t="shared" si="0"/>
        <v>0</v>
      </c>
      <c r="O50">
        <f t="shared" si="0"/>
        <v>0</v>
      </c>
      <c r="S50" t="s">
        <v>58</v>
      </c>
      <c r="T50">
        <f t="shared" ref="T50:AG50" si="11">T31-T12</f>
        <v>1.8398555254164312E-2</v>
      </c>
      <c r="U50">
        <f t="shared" si="11"/>
        <v>0</v>
      </c>
      <c r="V50">
        <f t="shared" si="11"/>
        <v>0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0</v>
      </c>
      <c r="AD50">
        <f t="shared" si="11"/>
        <v>0</v>
      </c>
      <c r="AE50">
        <f t="shared" si="11"/>
        <v>0</v>
      </c>
      <c r="AF50">
        <f t="shared" si="11"/>
        <v>0</v>
      </c>
      <c r="AG50">
        <f t="shared" si="11"/>
        <v>0</v>
      </c>
    </row>
    <row r="51" spans="1:35" x14ac:dyDescent="0.3">
      <c r="A51" t="s">
        <v>11</v>
      </c>
      <c r="B51">
        <f t="shared" si="2"/>
        <v>0</v>
      </c>
      <c r="C51">
        <f t="shared" si="0"/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2.0427616307041152E-2</v>
      </c>
      <c r="I51">
        <f t="shared" si="0"/>
        <v>0</v>
      </c>
      <c r="J51">
        <f t="shared" si="0"/>
        <v>0</v>
      </c>
      <c r="K51">
        <f t="shared" si="0"/>
        <v>0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S51" t="s">
        <v>11</v>
      </c>
      <c r="T51">
        <f t="shared" ref="T51:AG51" si="12">T32-T13</f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9.8551606662410363E-3</v>
      </c>
      <c r="AA51">
        <f t="shared" si="12"/>
        <v>0</v>
      </c>
      <c r="AB51">
        <f t="shared" si="12"/>
        <v>0</v>
      </c>
      <c r="AC51">
        <f t="shared" si="12"/>
        <v>0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</row>
    <row r="52" spans="1:35" x14ac:dyDescent="0.3">
      <c r="A52" t="s">
        <v>59</v>
      </c>
      <c r="B52">
        <f t="shared" si="2"/>
        <v>0</v>
      </c>
      <c r="C52">
        <f t="shared" si="0"/>
        <v>0</v>
      </c>
      <c r="D52">
        <f t="shared" si="0"/>
        <v>0</v>
      </c>
      <c r="E52">
        <f t="shared" si="0"/>
        <v>0</v>
      </c>
      <c r="F52">
        <f t="shared" si="0"/>
        <v>0</v>
      </c>
      <c r="G52">
        <f t="shared" si="0"/>
        <v>0</v>
      </c>
      <c r="H52">
        <f t="shared" si="0"/>
        <v>0</v>
      </c>
      <c r="I52">
        <f t="shared" si="0"/>
        <v>0</v>
      </c>
      <c r="J52">
        <f t="shared" si="0"/>
        <v>1.5252692321565897E-2</v>
      </c>
      <c r="K52">
        <f t="shared" si="0"/>
        <v>0</v>
      </c>
      <c r="L52">
        <f t="shared" si="0"/>
        <v>0</v>
      </c>
      <c r="M52">
        <f t="shared" si="0"/>
        <v>0</v>
      </c>
      <c r="N52">
        <f t="shared" si="0"/>
        <v>0</v>
      </c>
      <c r="O52">
        <f t="shared" si="0"/>
        <v>0</v>
      </c>
      <c r="S52" t="s">
        <v>59</v>
      </c>
      <c r="T52">
        <f t="shared" ref="T52:AG52" si="13">T33-T14</f>
        <v>0</v>
      </c>
      <c r="U52">
        <f t="shared" si="13"/>
        <v>0</v>
      </c>
      <c r="V52">
        <f t="shared" si="13"/>
        <v>0</v>
      </c>
      <c r="W52">
        <f t="shared" si="13"/>
        <v>0</v>
      </c>
      <c r="X52">
        <f t="shared" si="13"/>
        <v>0</v>
      </c>
      <c r="Y52">
        <f t="shared" si="13"/>
        <v>0</v>
      </c>
      <c r="Z52">
        <f t="shared" si="13"/>
        <v>0</v>
      </c>
      <c r="AA52">
        <f t="shared" si="13"/>
        <v>0</v>
      </c>
      <c r="AB52" s="5">
        <f t="shared" si="13"/>
        <v>-2.4202291001648613</v>
      </c>
      <c r="AC52">
        <f t="shared" si="13"/>
        <v>0</v>
      </c>
      <c r="AD52">
        <f t="shared" si="13"/>
        <v>0</v>
      </c>
      <c r="AE52">
        <f t="shared" si="13"/>
        <v>0</v>
      </c>
      <c r="AF52">
        <f t="shared" si="13"/>
        <v>0</v>
      </c>
      <c r="AG52">
        <f t="shared" si="13"/>
        <v>0</v>
      </c>
    </row>
    <row r="53" spans="1:35" x14ac:dyDescent="0.3">
      <c r="A53" t="s">
        <v>12</v>
      </c>
      <c r="B53">
        <f t="shared" si="2"/>
        <v>-1.3022489244778335E-3</v>
      </c>
      <c r="C53">
        <f t="shared" si="0"/>
        <v>0</v>
      </c>
      <c r="D53">
        <f t="shared" si="0"/>
        <v>0</v>
      </c>
      <c r="E53">
        <f t="shared" si="0"/>
        <v>0</v>
      </c>
      <c r="F53">
        <f t="shared" si="0"/>
        <v>0</v>
      </c>
      <c r="G53">
        <f t="shared" si="0"/>
        <v>0</v>
      </c>
      <c r="H53">
        <f t="shared" si="0"/>
        <v>8.5703021144357738E-2</v>
      </c>
      <c r="I53">
        <f t="shared" si="0"/>
        <v>0</v>
      </c>
      <c r="J53">
        <f t="shared" si="0"/>
        <v>0</v>
      </c>
      <c r="K53">
        <f t="shared" si="0"/>
        <v>0</v>
      </c>
      <c r="L53">
        <f t="shared" si="0"/>
        <v>-2.3233303876154299E-2</v>
      </c>
      <c r="M53">
        <f t="shared" si="0"/>
        <v>0</v>
      </c>
      <c r="N53">
        <f t="shared" si="0"/>
        <v>0</v>
      </c>
      <c r="O53">
        <f t="shared" si="0"/>
        <v>0</v>
      </c>
      <c r="S53" t="s">
        <v>12</v>
      </c>
      <c r="T53">
        <f t="shared" ref="T53:AG53" si="14">T34-T15</f>
        <v>-5.5328667792230724E-3</v>
      </c>
      <c r="U53">
        <f t="shared" si="14"/>
        <v>0</v>
      </c>
      <c r="V53">
        <f t="shared" si="14"/>
        <v>0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-2.384386901630664E-2</v>
      </c>
      <c r="AA53">
        <f t="shared" si="14"/>
        <v>0</v>
      </c>
      <c r="AB53">
        <f t="shared" si="14"/>
        <v>0</v>
      </c>
      <c r="AC53">
        <f t="shared" si="14"/>
        <v>0</v>
      </c>
      <c r="AD53">
        <f t="shared" si="14"/>
        <v>-1.1272736439605247E-2</v>
      </c>
      <c r="AE53">
        <f t="shared" si="14"/>
        <v>0</v>
      </c>
      <c r="AF53">
        <f t="shared" si="14"/>
        <v>0</v>
      </c>
      <c r="AG53">
        <f t="shared" si="14"/>
        <v>0</v>
      </c>
    </row>
    <row r="54" spans="1:35" x14ac:dyDescent="0.3">
      <c r="A54" t="s">
        <v>13</v>
      </c>
      <c r="B54">
        <f t="shared" si="2"/>
        <v>0</v>
      </c>
      <c r="C54">
        <f t="shared" si="0"/>
        <v>0</v>
      </c>
      <c r="D54">
        <f t="shared" si="0"/>
        <v>0</v>
      </c>
      <c r="E54">
        <f t="shared" si="0"/>
        <v>0</v>
      </c>
      <c r="F54">
        <f t="shared" si="0"/>
        <v>-9.0818889246673251E-3</v>
      </c>
      <c r="G54">
        <f t="shared" si="0"/>
        <v>0</v>
      </c>
      <c r="H54">
        <f t="shared" si="0"/>
        <v>0.11132332800290778</v>
      </c>
      <c r="I54">
        <f t="shared" si="0"/>
        <v>0</v>
      </c>
      <c r="J54">
        <f t="shared" si="0"/>
        <v>0</v>
      </c>
      <c r="K54">
        <f t="shared" si="0"/>
        <v>0</v>
      </c>
      <c r="L54">
        <f t="shared" si="0"/>
        <v>-2.551732817986696E-2</v>
      </c>
      <c r="M54">
        <f t="shared" si="0"/>
        <v>0</v>
      </c>
      <c r="N54">
        <f t="shared" si="0"/>
        <v>0</v>
      </c>
      <c r="O54">
        <f t="shared" si="0"/>
        <v>0</v>
      </c>
      <c r="S54" t="s">
        <v>13</v>
      </c>
      <c r="T54">
        <f t="shared" ref="T54:AG54" si="15">T35-T16</f>
        <v>0</v>
      </c>
      <c r="U54">
        <f t="shared" si="15"/>
        <v>0</v>
      </c>
      <c r="V54">
        <f t="shared" si="15"/>
        <v>0</v>
      </c>
      <c r="W54">
        <f t="shared" si="15"/>
        <v>0</v>
      </c>
      <c r="X54">
        <f t="shared" si="15"/>
        <v>-3.6629033124613408E-2</v>
      </c>
      <c r="Y54">
        <f t="shared" si="15"/>
        <v>0</v>
      </c>
      <c r="Z54">
        <f t="shared" si="15"/>
        <v>0.12355449162082421</v>
      </c>
      <c r="AA54">
        <f t="shared" si="15"/>
        <v>0</v>
      </c>
      <c r="AB54">
        <f t="shared" si="15"/>
        <v>0</v>
      </c>
      <c r="AC54">
        <f t="shared" si="15"/>
        <v>0</v>
      </c>
      <c r="AD54">
        <f t="shared" si="15"/>
        <v>0.11210288161995632</v>
      </c>
      <c r="AE54">
        <f t="shared" si="15"/>
        <v>0</v>
      </c>
      <c r="AF54">
        <f t="shared" si="15"/>
        <v>0</v>
      </c>
      <c r="AG54">
        <f t="shared" si="15"/>
        <v>0</v>
      </c>
    </row>
    <row r="55" spans="1:35" x14ac:dyDescent="0.3">
      <c r="A55" s="1"/>
      <c r="S55" s="1"/>
    </row>
    <row r="56" spans="1:35" x14ac:dyDescent="0.3">
      <c r="A56" s="1"/>
      <c r="S56" s="1"/>
    </row>
    <row r="58" spans="1:35" x14ac:dyDescent="0.3">
      <c r="A58" s="17" t="s">
        <v>21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S58" s="17" t="s">
        <v>21</v>
      </c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1:35" x14ac:dyDescent="0.3">
      <c r="A59" s="1" t="s">
        <v>33</v>
      </c>
      <c r="B59">
        <f>AVERAGE(B41:Q56)</f>
        <v>1.8091037514457759E-3</v>
      </c>
      <c r="C59" t="s">
        <v>34</v>
      </c>
      <c r="D59">
        <f>MEDIAN(B41:Q56)</f>
        <v>0</v>
      </c>
      <c r="E59" t="s">
        <v>37</v>
      </c>
      <c r="F59">
        <f>MIN(B41:Q56)</f>
        <v>-0.11554819048539355</v>
      </c>
      <c r="G59" t="s">
        <v>38</v>
      </c>
      <c r="H59">
        <f>MAX(B41:Q56)</f>
        <v>0.14579395283999919</v>
      </c>
      <c r="I59" t="s">
        <v>35</v>
      </c>
      <c r="J59" cm="1">
        <f t="array" ref="J59">MIN(IF(B41:P55&lt;&gt;0,ABS(B41:P55)))</f>
        <v>2.3993612134027426E-4</v>
      </c>
      <c r="K59" t="s">
        <v>36</v>
      </c>
      <c r="L59" cm="1">
        <f t="array" ref="L59">MAX(ABS(B41:Q56))</f>
        <v>0.14579395283999919</v>
      </c>
      <c r="S59" s="1" t="s">
        <v>33</v>
      </c>
      <c r="T59">
        <f>AVERAGE(T41:AI56)</f>
        <v>-2.0733062921809525E-2</v>
      </c>
      <c r="U59" t="s">
        <v>34</v>
      </c>
      <c r="V59">
        <f>MEDIAN(T41:AI56)</f>
        <v>0</v>
      </c>
      <c r="W59" t="s">
        <v>37</v>
      </c>
      <c r="X59">
        <f>MIN(T41:AI56)</f>
        <v>-2.4202291001648613</v>
      </c>
      <c r="Y59" t="s">
        <v>38</v>
      </c>
      <c r="Z59">
        <f>MAX(T41:AI56)</f>
        <v>0.29855175644025556</v>
      </c>
      <c r="AA59" t="s">
        <v>35</v>
      </c>
      <c r="AB59" cm="1">
        <f t="array" ref="AB59">MIN(IF(T41:AH55&lt;&gt;0,ABS(T41:AH55)))</f>
        <v>1.9730831569763491E-4</v>
      </c>
      <c r="AC59" t="s">
        <v>36</v>
      </c>
      <c r="AD59" cm="1">
        <f t="array" ref="AD59">MAX(ABS(T41:AI56))</f>
        <v>2.4202291001648613</v>
      </c>
    </row>
    <row r="61" spans="1:35" x14ac:dyDescent="0.3">
      <c r="A61" s="17" t="s">
        <v>60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S61" s="17" t="s">
        <v>61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</row>
    <row r="62" spans="1:35" x14ac:dyDescent="0.3">
      <c r="A62" t="s">
        <v>26</v>
      </c>
      <c r="B62" t="s">
        <v>5</v>
      </c>
      <c r="C62" t="s">
        <v>55</v>
      </c>
      <c r="D62" t="s">
        <v>6</v>
      </c>
      <c r="E62" t="s">
        <v>7</v>
      </c>
      <c r="F62" t="s">
        <v>8</v>
      </c>
      <c r="G62" t="s">
        <v>56</v>
      </c>
      <c r="H62" t="s">
        <v>9</v>
      </c>
      <c r="I62" t="s">
        <v>57</v>
      </c>
      <c r="J62" t="s">
        <v>10</v>
      </c>
      <c r="K62" t="s">
        <v>58</v>
      </c>
      <c r="L62" t="s">
        <v>11</v>
      </c>
      <c r="M62" t="s">
        <v>59</v>
      </c>
      <c r="N62" t="s">
        <v>12</v>
      </c>
      <c r="O62" t="s">
        <v>13</v>
      </c>
      <c r="P62" s="1"/>
      <c r="Q62" s="1"/>
      <c r="S62" t="s">
        <v>26</v>
      </c>
      <c r="T62" t="s">
        <v>5</v>
      </c>
      <c r="U62" t="s">
        <v>55</v>
      </c>
      <c r="V62" t="s">
        <v>6</v>
      </c>
      <c r="W62" t="s">
        <v>7</v>
      </c>
      <c r="X62" t="s">
        <v>8</v>
      </c>
      <c r="Y62" t="s">
        <v>56</v>
      </c>
      <c r="Z62" t="s">
        <v>9</v>
      </c>
      <c r="AA62" t="s">
        <v>57</v>
      </c>
      <c r="AB62" t="s">
        <v>10</v>
      </c>
      <c r="AC62" t="s">
        <v>58</v>
      </c>
      <c r="AD62" t="s">
        <v>11</v>
      </c>
      <c r="AE62" t="s">
        <v>59</v>
      </c>
      <c r="AF62" t="s">
        <v>12</v>
      </c>
      <c r="AG62" t="s">
        <v>13</v>
      </c>
      <c r="AH62" s="1"/>
      <c r="AI62" s="1"/>
    </row>
    <row r="63" spans="1:35" x14ac:dyDescent="0.3">
      <c r="A63" t="s">
        <v>5</v>
      </c>
      <c r="B63">
        <f t="shared" ref="B63:B76" si="16">B22-T22</f>
        <v>0</v>
      </c>
      <c r="C63">
        <f t="shared" ref="C63:C76" si="17">C22-U22</f>
        <v>0</v>
      </c>
      <c r="D63">
        <f t="shared" ref="D63:D76" si="18">D22-V22</f>
        <v>0</v>
      </c>
      <c r="E63">
        <f t="shared" ref="E63:E76" si="19">E22-W22</f>
        <v>0</v>
      </c>
      <c r="F63">
        <f t="shared" ref="F63:F76" si="20">F22-X22</f>
        <v>-0.10401259210424363</v>
      </c>
      <c r="G63">
        <f t="shared" ref="G63:G76" si="21">G22-Y22</f>
        <v>0</v>
      </c>
      <c r="H63">
        <f>H22-Z22</f>
        <v>0.95816703366253608</v>
      </c>
      <c r="I63">
        <f t="shared" ref="I63:I76" si="22">I22-AA22</f>
        <v>0</v>
      </c>
      <c r="J63">
        <f t="shared" ref="J63:J76" si="23">J22-AB22</f>
        <v>0</v>
      </c>
      <c r="K63">
        <f t="shared" ref="K63:K76" si="24">K22-AC22</f>
        <v>0</v>
      </c>
      <c r="L63">
        <f t="shared" ref="L63:L76" si="25">L22-AD22</f>
        <v>0</v>
      </c>
      <c r="M63">
        <f t="shared" ref="M63:M76" si="26">M22-AE22</f>
        <v>0</v>
      </c>
      <c r="N63">
        <f t="shared" ref="N63:N76" si="27">N22-AF22</f>
        <v>0</v>
      </c>
      <c r="O63">
        <f t="shared" ref="O63:O76" si="28">O22-AG22</f>
        <v>0</v>
      </c>
      <c r="S63" t="s">
        <v>5</v>
      </c>
      <c r="T63">
        <f t="shared" ref="T63:T76" si="29">B3-T3</f>
        <v>0</v>
      </c>
      <c r="U63">
        <f t="shared" ref="U63:U76" si="30">C3-U3</f>
        <v>0</v>
      </c>
      <c r="V63">
        <f t="shared" ref="V63:V76" si="31">D3-V3</f>
        <v>0</v>
      </c>
      <c r="W63">
        <f t="shared" ref="W63:W76" si="32">E3-W3</f>
        <v>0</v>
      </c>
      <c r="X63">
        <f t="shared" ref="X63:X76" si="33">F3-X3</f>
        <v>-0.11684755204287622</v>
      </c>
      <c r="Y63">
        <f t="shared" ref="Y63:Y76" si="34">G3-Y3</f>
        <v>0</v>
      </c>
      <c r="Z63">
        <f t="shared" ref="Z63:Z76" si="35">H3-Z3</f>
        <v>0.82897191168578366</v>
      </c>
      <c r="AA63">
        <f t="shared" ref="AA63:AA76" si="36">I3-AA3</f>
        <v>0</v>
      </c>
      <c r="AB63">
        <f t="shared" ref="AB63:AB76" si="37">J3-AB3</f>
        <v>0</v>
      </c>
      <c r="AC63">
        <f t="shared" ref="AC63:AC76" si="38">K3-AC3</f>
        <v>0</v>
      </c>
      <c r="AD63">
        <f t="shared" ref="AD63:AD76" si="39">L3-AD3</f>
        <v>0</v>
      </c>
      <c r="AE63">
        <f t="shared" ref="AE63:AE76" si="40">M3-AE3</f>
        <v>0</v>
      </c>
      <c r="AF63">
        <f t="shared" ref="AF63:AF76" si="41">N3-AF3</f>
        <v>0</v>
      </c>
      <c r="AG63">
        <f t="shared" ref="AG63:AG76" si="42">O3-AG3</f>
        <v>0</v>
      </c>
    </row>
    <row r="64" spans="1:35" x14ac:dyDescent="0.3">
      <c r="A64" t="s">
        <v>55</v>
      </c>
      <c r="B64">
        <f t="shared" si="16"/>
        <v>0</v>
      </c>
      <c r="C64">
        <f t="shared" si="17"/>
        <v>0</v>
      </c>
      <c r="D64">
        <f t="shared" si="18"/>
        <v>0</v>
      </c>
      <c r="E64">
        <f t="shared" si="19"/>
        <v>0</v>
      </c>
      <c r="F64">
        <f t="shared" si="20"/>
        <v>0</v>
      </c>
      <c r="G64">
        <f t="shared" si="21"/>
        <v>0</v>
      </c>
      <c r="H64">
        <f t="shared" ref="H64:H76" si="43">H23-Z23</f>
        <v>0</v>
      </c>
      <c r="I64">
        <f t="shared" si="22"/>
        <v>0</v>
      </c>
      <c r="J64">
        <f t="shared" si="23"/>
        <v>0</v>
      </c>
      <c r="K64">
        <f t="shared" si="24"/>
        <v>0</v>
      </c>
      <c r="L64">
        <f t="shared" si="25"/>
        <v>0</v>
      </c>
      <c r="M64">
        <f t="shared" si="26"/>
        <v>0</v>
      </c>
      <c r="N64">
        <f t="shared" si="27"/>
        <v>0</v>
      </c>
      <c r="O64">
        <f t="shared" si="28"/>
        <v>0</v>
      </c>
      <c r="S64" t="s">
        <v>55</v>
      </c>
      <c r="T64">
        <f t="shared" si="29"/>
        <v>0</v>
      </c>
      <c r="U64">
        <f t="shared" si="30"/>
        <v>0</v>
      </c>
      <c r="V64">
        <f t="shared" si="31"/>
        <v>0</v>
      </c>
      <c r="W64">
        <f t="shared" si="32"/>
        <v>0</v>
      </c>
      <c r="X64">
        <f t="shared" si="33"/>
        <v>0</v>
      </c>
      <c r="Y64">
        <f t="shared" si="34"/>
        <v>0</v>
      </c>
      <c r="Z64">
        <f t="shared" si="35"/>
        <v>0</v>
      </c>
      <c r="AA64">
        <f t="shared" si="36"/>
        <v>0</v>
      </c>
      <c r="AB64">
        <f t="shared" si="37"/>
        <v>0</v>
      </c>
      <c r="AC64">
        <f t="shared" si="38"/>
        <v>0</v>
      </c>
      <c r="AD64">
        <f t="shared" si="39"/>
        <v>0</v>
      </c>
      <c r="AE64">
        <f t="shared" si="40"/>
        <v>0</v>
      </c>
      <c r="AF64">
        <f t="shared" si="41"/>
        <v>0</v>
      </c>
      <c r="AG64">
        <f t="shared" si="42"/>
        <v>0</v>
      </c>
    </row>
    <row r="65" spans="1:33" x14ac:dyDescent="0.3">
      <c r="A65" t="s">
        <v>6</v>
      </c>
      <c r="B65">
        <f t="shared" si="16"/>
        <v>0</v>
      </c>
      <c r="C65">
        <f t="shared" si="17"/>
        <v>0</v>
      </c>
      <c r="D65">
        <f t="shared" si="18"/>
        <v>0</v>
      </c>
      <c r="E65">
        <f t="shared" si="19"/>
        <v>0</v>
      </c>
      <c r="F65">
        <f t="shared" si="20"/>
        <v>0</v>
      </c>
      <c r="G65">
        <f t="shared" si="21"/>
        <v>0</v>
      </c>
      <c r="H65">
        <f t="shared" si="43"/>
        <v>0</v>
      </c>
      <c r="I65">
        <f t="shared" si="22"/>
        <v>0</v>
      </c>
      <c r="J65">
        <f t="shared" si="23"/>
        <v>0</v>
      </c>
      <c r="K65">
        <f t="shared" si="24"/>
        <v>0</v>
      </c>
      <c r="L65">
        <f t="shared" si="25"/>
        <v>0</v>
      </c>
      <c r="M65">
        <f t="shared" si="26"/>
        <v>0</v>
      </c>
      <c r="N65">
        <f t="shared" si="27"/>
        <v>-0.35027281332756044</v>
      </c>
      <c r="O65">
        <f t="shared" si="28"/>
        <v>0</v>
      </c>
      <c r="S65" t="s">
        <v>6</v>
      </c>
      <c r="T65">
        <f t="shared" si="29"/>
        <v>0</v>
      </c>
      <c r="U65">
        <f t="shared" si="30"/>
        <v>0</v>
      </c>
      <c r="V65">
        <f t="shared" si="31"/>
        <v>0</v>
      </c>
      <c r="W65">
        <f t="shared" si="32"/>
        <v>0</v>
      </c>
      <c r="X65">
        <f t="shared" si="33"/>
        <v>0</v>
      </c>
      <c r="Y65">
        <f t="shared" si="34"/>
        <v>0</v>
      </c>
      <c r="Z65">
        <f t="shared" si="35"/>
        <v>0</v>
      </c>
      <c r="AA65">
        <f t="shared" si="36"/>
        <v>0</v>
      </c>
      <c r="AB65">
        <f t="shared" si="37"/>
        <v>0</v>
      </c>
      <c r="AC65">
        <f t="shared" si="38"/>
        <v>0</v>
      </c>
      <c r="AD65">
        <f t="shared" si="39"/>
        <v>0</v>
      </c>
      <c r="AE65">
        <f t="shared" si="40"/>
        <v>0</v>
      </c>
      <c r="AF65">
        <f t="shared" si="41"/>
        <v>-0.34316520235318115</v>
      </c>
      <c r="AG65">
        <f t="shared" si="42"/>
        <v>0</v>
      </c>
    </row>
    <row r="66" spans="1:33" x14ac:dyDescent="0.3">
      <c r="A66" t="s">
        <v>7</v>
      </c>
      <c r="B66">
        <f t="shared" si="16"/>
        <v>-3.3584260802138576E-2</v>
      </c>
      <c r="C66">
        <f t="shared" si="17"/>
        <v>0</v>
      </c>
      <c r="D66">
        <f t="shared" si="18"/>
        <v>0</v>
      </c>
      <c r="E66">
        <f t="shared" si="19"/>
        <v>0</v>
      </c>
      <c r="F66">
        <f t="shared" si="20"/>
        <v>0.29155492177429554</v>
      </c>
      <c r="G66">
        <f t="shared" si="21"/>
        <v>0</v>
      </c>
      <c r="H66">
        <f t="shared" si="43"/>
        <v>-1.764140981104068</v>
      </c>
      <c r="I66">
        <f t="shared" si="22"/>
        <v>0</v>
      </c>
      <c r="J66">
        <f t="shared" si="23"/>
        <v>0</v>
      </c>
      <c r="K66">
        <f t="shared" si="24"/>
        <v>-0.13515026603028679</v>
      </c>
      <c r="L66">
        <f t="shared" si="25"/>
        <v>1.0406624782814198</v>
      </c>
      <c r="M66">
        <f t="shared" si="26"/>
        <v>0</v>
      </c>
      <c r="N66">
        <f t="shared" si="27"/>
        <v>0</v>
      </c>
      <c r="O66">
        <f t="shared" si="28"/>
        <v>0</v>
      </c>
      <c r="S66" t="s">
        <v>7</v>
      </c>
      <c r="T66">
        <f t="shared" si="29"/>
        <v>-7.5939392680300935E-2</v>
      </c>
      <c r="U66">
        <f t="shared" si="30"/>
        <v>0</v>
      </c>
      <c r="V66">
        <f t="shared" si="31"/>
        <v>0</v>
      </c>
      <c r="W66">
        <f t="shared" si="32"/>
        <v>0</v>
      </c>
      <c r="X66">
        <f t="shared" si="33"/>
        <v>0.36171955182101395</v>
      </c>
      <c r="Y66">
        <f t="shared" si="34"/>
        <v>0</v>
      </c>
      <c r="Z66">
        <f t="shared" si="35"/>
        <v>-1.8309786787813149</v>
      </c>
      <c r="AA66">
        <f t="shared" si="36"/>
        <v>0</v>
      </c>
      <c r="AB66">
        <f t="shared" si="37"/>
        <v>0</v>
      </c>
      <c r="AC66">
        <f t="shared" si="38"/>
        <v>-0.40894663437169193</v>
      </c>
      <c r="AD66">
        <f t="shared" si="39"/>
        <v>1.1934202818816761</v>
      </c>
      <c r="AE66">
        <f t="shared" si="40"/>
        <v>0</v>
      </c>
      <c r="AF66">
        <f t="shared" si="41"/>
        <v>0</v>
      </c>
      <c r="AG66">
        <f t="shared" si="42"/>
        <v>0</v>
      </c>
    </row>
    <row r="67" spans="1:33" x14ac:dyDescent="0.3">
      <c r="A67" t="s">
        <v>8</v>
      </c>
      <c r="B67">
        <f t="shared" si="16"/>
        <v>0</v>
      </c>
      <c r="C67">
        <f t="shared" si="17"/>
        <v>0</v>
      </c>
      <c r="D67">
        <f t="shared" si="18"/>
        <v>0</v>
      </c>
      <c r="E67">
        <f t="shared" si="19"/>
        <v>0</v>
      </c>
      <c r="F67">
        <f t="shared" si="20"/>
        <v>0.14335104726630032</v>
      </c>
      <c r="G67">
        <f t="shared" si="21"/>
        <v>0</v>
      </c>
      <c r="H67">
        <f t="shared" si="43"/>
        <v>0</v>
      </c>
      <c r="I67">
        <f t="shared" si="22"/>
        <v>0</v>
      </c>
      <c r="J67">
        <f t="shared" si="23"/>
        <v>0</v>
      </c>
      <c r="K67">
        <f t="shared" si="24"/>
        <v>0</v>
      </c>
      <c r="L67">
        <f t="shared" si="25"/>
        <v>0</v>
      </c>
      <c r="M67">
        <f t="shared" si="26"/>
        <v>0</v>
      </c>
      <c r="N67">
        <f t="shared" si="27"/>
        <v>0</v>
      </c>
      <c r="O67">
        <f t="shared" si="28"/>
        <v>0</v>
      </c>
      <c r="S67" t="s">
        <v>8</v>
      </c>
      <c r="T67">
        <f t="shared" si="29"/>
        <v>0</v>
      </c>
      <c r="U67">
        <f t="shared" si="30"/>
        <v>0</v>
      </c>
      <c r="V67">
        <f t="shared" si="31"/>
        <v>0</v>
      </c>
      <c r="W67">
        <f t="shared" si="32"/>
        <v>0</v>
      </c>
      <c r="X67">
        <f t="shared" si="33"/>
        <v>0.13372489544830612</v>
      </c>
      <c r="Y67">
        <f t="shared" si="34"/>
        <v>0</v>
      </c>
      <c r="Z67">
        <f t="shared" si="35"/>
        <v>0</v>
      </c>
      <c r="AA67">
        <f t="shared" si="36"/>
        <v>0</v>
      </c>
      <c r="AB67">
        <f t="shared" si="37"/>
        <v>0</v>
      </c>
      <c r="AC67">
        <f t="shared" si="38"/>
        <v>0</v>
      </c>
      <c r="AD67">
        <f t="shared" si="39"/>
        <v>0</v>
      </c>
      <c r="AE67">
        <f t="shared" si="40"/>
        <v>0</v>
      </c>
      <c r="AF67">
        <f t="shared" si="41"/>
        <v>0</v>
      </c>
      <c r="AG67">
        <f t="shared" si="42"/>
        <v>0</v>
      </c>
    </row>
    <row r="68" spans="1:33" x14ac:dyDescent="0.3">
      <c r="A68" t="s">
        <v>56</v>
      </c>
      <c r="B68">
        <f t="shared" si="16"/>
        <v>0</v>
      </c>
      <c r="C68">
        <f t="shared" si="17"/>
        <v>0</v>
      </c>
      <c r="D68">
        <f t="shared" si="18"/>
        <v>-1.8293658712291404E-2</v>
      </c>
      <c r="E68">
        <f t="shared" si="19"/>
        <v>0</v>
      </c>
      <c r="F68">
        <f t="shared" si="20"/>
        <v>0</v>
      </c>
      <c r="G68">
        <f t="shared" si="21"/>
        <v>0</v>
      </c>
      <c r="H68">
        <f t="shared" si="43"/>
        <v>0</v>
      </c>
      <c r="I68">
        <f t="shared" si="22"/>
        <v>0</v>
      </c>
      <c r="J68">
        <f t="shared" si="23"/>
        <v>0</v>
      </c>
      <c r="K68">
        <f t="shared" si="24"/>
        <v>0</v>
      </c>
      <c r="L68">
        <f t="shared" si="25"/>
        <v>0</v>
      </c>
      <c r="M68">
        <f t="shared" si="26"/>
        <v>0</v>
      </c>
      <c r="N68">
        <f t="shared" si="27"/>
        <v>0</v>
      </c>
      <c r="O68">
        <f t="shared" si="28"/>
        <v>0</v>
      </c>
      <c r="S68" t="s">
        <v>56</v>
      </c>
      <c r="T68">
        <f t="shared" si="29"/>
        <v>0</v>
      </c>
      <c r="U68">
        <f t="shared" si="30"/>
        <v>0</v>
      </c>
      <c r="V68">
        <f t="shared" si="31"/>
        <v>-1.8336286517934043E-2</v>
      </c>
      <c r="W68">
        <f t="shared" si="32"/>
        <v>0</v>
      </c>
      <c r="X68">
        <f t="shared" si="33"/>
        <v>0</v>
      </c>
      <c r="Y68">
        <f t="shared" si="34"/>
        <v>0</v>
      </c>
      <c r="Z68">
        <f t="shared" si="35"/>
        <v>0</v>
      </c>
      <c r="AA68">
        <f t="shared" si="36"/>
        <v>0</v>
      </c>
      <c r="AB68">
        <f t="shared" si="37"/>
        <v>0</v>
      </c>
      <c r="AC68">
        <f t="shared" si="38"/>
        <v>0</v>
      </c>
      <c r="AD68">
        <f t="shared" si="39"/>
        <v>0</v>
      </c>
      <c r="AE68">
        <f t="shared" si="40"/>
        <v>0</v>
      </c>
      <c r="AF68">
        <f t="shared" si="41"/>
        <v>0</v>
      </c>
      <c r="AG68">
        <f t="shared" si="42"/>
        <v>0</v>
      </c>
    </row>
    <row r="69" spans="1:33" x14ac:dyDescent="0.3">
      <c r="A69" t="s">
        <v>9</v>
      </c>
      <c r="B69">
        <f t="shared" si="16"/>
        <v>0</v>
      </c>
      <c r="C69">
        <f t="shared" si="17"/>
        <v>0.88509333115301514</v>
      </c>
      <c r="D69">
        <f t="shared" si="18"/>
        <v>0</v>
      </c>
      <c r="E69">
        <f t="shared" si="19"/>
        <v>0</v>
      </c>
      <c r="F69">
        <f t="shared" si="20"/>
        <v>1.4320122490361908E-3</v>
      </c>
      <c r="G69">
        <f t="shared" si="21"/>
        <v>0</v>
      </c>
      <c r="H69">
        <f t="shared" si="43"/>
        <v>0</v>
      </c>
      <c r="I69">
        <f t="shared" si="22"/>
        <v>0</v>
      </c>
      <c r="J69">
        <f t="shared" si="23"/>
        <v>0</v>
      </c>
      <c r="K69">
        <f t="shared" si="24"/>
        <v>0</v>
      </c>
      <c r="L69">
        <f t="shared" si="25"/>
        <v>0</v>
      </c>
      <c r="M69">
        <f t="shared" si="26"/>
        <v>0</v>
      </c>
      <c r="N69">
        <f t="shared" si="27"/>
        <v>0</v>
      </c>
      <c r="O69">
        <f t="shared" si="28"/>
        <v>0</v>
      </c>
      <c r="S69" t="s">
        <v>9</v>
      </c>
      <c r="T69">
        <f t="shared" si="29"/>
        <v>0</v>
      </c>
      <c r="U69">
        <f t="shared" si="30"/>
        <v>1.0080183229244248</v>
      </c>
      <c r="V69">
        <f t="shared" si="31"/>
        <v>0</v>
      </c>
      <c r="W69">
        <f t="shared" si="32"/>
        <v>0</v>
      </c>
      <c r="X69">
        <f t="shared" si="33"/>
        <v>-1.5846876287346101E-2</v>
      </c>
      <c r="Y69">
        <f t="shared" si="34"/>
        <v>0</v>
      </c>
      <c r="Z69">
        <f t="shared" si="35"/>
        <v>0</v>
      </c>
      <c r="AA69">
        <f t="shared" si="36"/>
        <v>0</v>
      </c>
      <c r="AB69">
        <f t="shared" si="37"/>
        <v>0</v>
      </c>
      <c r="AC69">
        <f t="shared" si="38"/>
        <v>0</v>
      </c>
      <c r="AD69">
        <f t="shared" si="39"/>
        <v>0</v>
      </c>
      <c r="AE69">
        <f t="shared" si="40"/>
        <v>0</v>
      </c>
      <c r="AF69">
        <f t="shared" si="41"/>
        <v>0</v>
      </c>
      <c r="AG69">
        <f t="shared" si="42"/>
        <v>0</v>
      </c>
    </row>
    <row r="70" spans="1:33" x14ac:dyDescent="0.3">
      <c r="A70" t="s">
        <v>57</v>
      </c>
      <c r="B70">
        <f t="shared" si="16"/>
        <v>0</v>
      </c>
      <c r="C70">
        <f t="shared" si="17"/>
        <v>0</v>
      </c>
      <c r="D70">
        <f t="shared" si="18"/>
        <v>0</v>
      </c>
      <c r="E70">
        <f t="shared" si="19"/>
        <v>0</v>
      </c>
      <c r="F70">
        <f t="shared" si="20"/>
        <v>0</v>
      </c>
      <c r="G70">
        <f t="shared" si="21"/>
        <v>0</v>
      </c>
      <c r="H70">
        <f t="shared" si="43"/>
        <v>0</v>
      </c>
      <c r="I70">
        <f t="shared" si="22"/>
        <v>0</v>
      </c>
      <c r="J70">
        <f t="shared" si="23"/>
        <v>0</v>
      </c>
      <c r="K70">
        <f t="shared" si="24"/>
        <v>0</v>
      </c>
      <c r="L70">
        <f t="shared" si="25"/>
        <v>0</v>
      </c>
      <c r="M70">
        <f t="shared" si="26"/>
        <v>0</v>
      </c>
      <c r="N70">
        <f t="shared" si="27"/>
        <v>-0.16885684454017702</v>
      </c>
      <c r="O70">
        <f t="shared" si="28"/>
        <v>0</v>
      </c>
      <c r="S70" t="s">
        <v>57</v>
      </c>
      <c r="T70">
        <f t="shared" si="29"/>
        <v>0</v>
      </c>
      <c r="U70">
        <f t="shared" si="30"/>
        <v>0</v>
      </c>
      <c r="V70">
        <f t="shared" si="31"/>
        <v>0</v>
      </c>
      <c r="W70">
        <f t="shared" si="32"/>
        <v>0</v>
      </c>
      <c r="X70">
        <f t="shared" si="33"/>
        <v>0</v>
      </c>
      <c r="Y70">
        <f t="shared" si="34"/>
        <v>0</v>
      </c>
      <c r="Z70">
        <f t="shared" si="35"/>
        <v>0</v>
      </c>
      <c r="AA70">
        <f t="shared" si="36"/>
        <v>0</v>
      </c>
      <c r="AB70">
        <f t="shared" si="37"/>
        <v>0</v>
      </c>
      <c r="AC70">
        <f t="shared" si="38"/>
        <v>0</v>
      </c>
      <c r="AD70">
        <f t="shared" si="39"/>
        <v>0</v>
      </c>
      <c r="AE70">
        <f t="shared" si="40"/>
        <v>0</v>
      </c>
      <c r="AF70">
        <f t="shared" si="41"/>
        <v>-0.15526343799506115</v>
      </c>
      <c r="AG70">
        <f t="shared" si="42"/>
        <v>0</v>
      </c>
    </row>
    <row r="71" spans="1:33" x14ac:dyDescent="0.3">
      <c r="A71" t="s">
        <v>10</v>
      </c>
      <c r="B71">
        <f t="shared" si="16"/>
        <v>5.1684479348520856E-2</v>
      </c>
      <c r="C71">
        <f t="shared" si="17"/>
        <v>0</v>
      </c>
      <c r="D71">
        <f t="shared" si="18"/>
        <v>0</v>
      </c>
      <c r="E71">
        <f t="shared" si="19"/>
        <v>0</v>
      </c>
      <c r="F71">
        <f t="shared" si="20"/>
        <v>0</v>
      </c>
      <c r="G71">
        <f t="shared" si="21"/>
        <v>0</v>
      </c>
      <c r="H71">
        <f t="shared" si="43"/>
        <v>0.93288361367711992</v>
      </c>
      <c r="I71">
        <f t="shared" si="22"/>
        <v>0</v>
      </c>
      <c r="J71">
        <f t="shared" si="23"/>
        <v>0</v>
      </c>
      <c r="K71">
        <f t="shared" si="24"/>
        <v>0.4285803144610737</v>
      </c>
      <c r="L71">
        <f t="shared" si="25"/>
        <v>0</v>
      </c>
      <c r="M71">
        <f t="shared" si="26"/>
        <v>0</v>
      </c>
      <c r="N71">
        <f t="shared" si="27"/>
        <v>0</v>
      </c>
      <c r="O71">
        <f t="shared" si="28"/>
        <v>0</v>
      </c>
      <c r="S71" t="s">
        <v>10</v>
      </c>
      <c r="T71">
        <f t="shared" si="29"/>
        <v>-2.7414659035433775E-4</v>
      </c>
      <c r="U71">
        <f t="shared" si="30"/>
        <v>0</v>
      </c>
      <c r="V71">
        <f t="shared" si="31"/>
        <v>0</v>
      </c>
      <c r="W71">
        <f t="shared" si="32"/>
        <v>0</v>
      </c>
      <c r="X71">
        <f t="shared" si="33"/>
        <v>0</v>
      </c>
      <c r="Y71">
        <f t="shared" si="34"/>
        <v>0</v>
      </c>
      <c r="Z71">
        <f t="shared" si="35"/>
        <v>-0.32058658189209621</v>
      </c>
      <c r="AA71">
        <f t="shared" si="36"/>
        <v>0</v>
      </c>
      <c r="AB71">
        <f t="shared" si="37"/>
        <v>0</v>
      </c>
      <c r="AC71">
        <f t="shared" si="38"/>
        <v>-0.10903253281076736</v>
      </c>
      <c r="AD71">
        <f t="shared" si="39"/>
        <v>0</v>
      </c>
      <c r="AE71">
        <f t="shared" si="40"/>
        <v>0</v>
      </c>
      <c r="AF71">
        <f t="shared" si="41"/>
        <v>0</v>
      </c>
      <c r="AG71">
        <f t="shared" si="42"/>
        <v>0</v>
      </c>
    </row>
    <row r="72" spans="1:33" x14ac:dyDescent="0.3">
      <c r="A72" t="s">
        <v>58</v>
      </c>
      <c r="B72">
        <f t="shared" si="16"/>
        <v>-9.1268052570405711E-2</v>
      </c>
      <c r="C72">
        <f t="shared" si="17"/>
        <v>0</v>
      </c>
      <c r="D72">
        <f t="shared" si="18"/>
        <v>0</v>
      </c>
      <c r="E72">
        <f t="shared" si="19"/>
        <v>0</v>
      </c>
      <c r="F72">
        <f t="shared" si="20"/>
        <v>0</v>
      </c>
      <c r="G72">
        <f t="shared" si="21"/>
        <v>0</v>
      </c>
      <c r="H72">
        <f t="shared" si="43"/>
        <v>0</v>
      </c>
      <c r="I72">
        <f t="shared" si="22"/>
        <v>0</v>
      </c>
      <c r="J72">
        <f t="shared" si="23"/>
        <v>0</v>
      </c>
      <c r="K72">
        <f t="shared" si="24"/>
        <v>0</v>
      </c>
      <c r="L72">
        <f t="shared" si="25"/>
        <v>0</v>
      </c>
      <c r="M72">
        <f t="shared" si="26"/>
        <v>0</v>
      </c>
      <c r="N72">
        <f t="shared" si="27"/>
        <v>0</v>
      </c>
      <c r="O72">
        <f t="shared" si="28"/>
        <v>0</v>
      </c>
      <c r="S72" t="s">
        <v>58</v>
      </c>
      <c r="T72">
        <f t="shared" si="29"/>
        <v>-5.5505587225879588E-2</v>
      </c>
      <c r="U72">
        <f t="shared" si="30"/>
        <v>0</v>
      </c>
      <c r="V72">
        <f t="shared" si="31"/>
        <v>0</v>
      </c>
      <c r="W72">
        <f t="shared" si="32"/>
        <v>0</v>
      </c>
      <c r="X72">
        <f t="shared" si="33"/>
        <v>0</v>
      </c>
      <c r="Y72">
        <f t="shared" si="34"/>
        <v>0</v>
      </c>
      <c r="Z72">
        <f t="shared" si="35"/>
        <v>0</v>
      </c>
      <c r="AA72">
        <f t="shared" si="36"/>
        <v>0</v>
      </c>
      <c r="AB72">
        <f t="shared" si="37"/>
        <v>0</v>
      </c>
      <c r="AC72">
        <f t="shared" si="38"/>
        <v>0</v>
      </c>
      <c r="AD72">
        <f t="shared" si="39"/>
        <v>0</v>
      </c>
      <c r="AE72">
        <f t="shared" si="40"/>
        <v>0</v>
      </c>
      <c r="AF72">
        <f t="shared" si="41"/>
        <v>0</v>
      </c>
      <c r="AG72">
        <f t="shared" si="42"/>
        <v>0</v>
      </c>
    </row>
    <row r="73" spans="1:33" x14ac:dyDescent="0.3">
      <c r="A73" t="s">
        <v>11</v>
      </c>
      <c r="B73">
        <f t="shared" si="16"/>
        <v>0</v>
      </c>
      <c r="C73">
        <f t="shared" si="17"/>
        <v>0</v>
      </c>
      <c r="D73">
        <f t="shared" si="18"/>
        <v>0</v>
      </c>
      <c r="E73">
        <f t="shared" si="19"/>
        <v>0</v>
      </c>
      <c r="F73">
        <f t="shared" si="20"/>
        <v>0</v>
      </c>
      <c r="G73">
        <f t="shared" si="21"/>
        <v>0</v>
      </c>
      <c r="H73">
        <f t="shared" si="43"/>
        <v>-0.31179216119744324</v>
      </c>
      <c r="I73">
        <f t="shared" si="22"/>
        <v>0</v>
      </c>
      <c r="J73">
        <f t="shared" si="23"/>
        <v>0</v>
      </c>
      <c r="K73">
        <f t="shared" si="24"/>
        <v>0</v>
      </c>
      <c r="L73">
        <f t="shared" si="25"/>
        <v>0</v>
      </c>
      <c r="M73">
        <f t="shared" si="26"/>
        <v>0</v>
      </c>
      <c r="N73">
        <f t="shared" si="27"/>
        <v>0</v>
      </c>
      <c r="O73">
        <f t="shared" si="28"/>
        <v>0</v>
      </c>
      <c r="S73" t="s">
        <v>11</v>
      </c>
      <c r="T73">
        <f t="shared" si="29"/>
        <v>0</v>
      </c>
      <c r="U73">
        <f t="shared" si="30"/>
        <v>0</v>
      </c>
      <c r="V73">
        <f t="shared" si="31"/>
        <v>0</v>
      </c>
      <c r="W73">
        <f t="shared" si="32"/>
        <v>0</v>
      </c>
      <c r="X73">
        <f t="shared" si="33"/>
        <v>0</v>
      </c>
      <c r="Y73">
        <f t="shared" si="34"/>
        <v>0</v>
      </c>
      <c r="Z73">
        <f t="shared" si="35"/>
        <v>-0.32236461683824336</v>
      </c>
      <c r="AA73">
        <f t="shared" si="36"/>
        <v>0</v>
      </c>
      <c r="AB73">
        <f t="shared" si="37"/>
        <v>0</v>
      </c>
      <c r="AC73">
        <f t="shared" si="38"/>
        <v>0</v>
      </c>
      <c r="AD73">
        <f t="shared" si="39"/>
        <v>0</v>
      </c>
      <c r="AE73">
        <f t="shared" si="40"/>
        <v>0</v>
      </c>
      <c r="AF73">
        <f t="shared" si="41"/>
        <v>0</v>
      </c>
      <c r="AG73">
        <f t="shared" si="42"/>
        <v>0</v>
      </c>
    </row>
    <row r="74" spans="1:33" x14ac:dyDescent="0.3">
      <c r="A74" t="s">
        <v>59</v>
      </c>
      <c r="B74">
        <f t="shared" si="16"/>
        <v>0</v>
      </c>
      <c r="C74">
        <f t="shared" si="17"/>
        <v>0</v>
      </c>
      <c r="D74">
        <f t="shared" si="18"/>
        <v>0</v>
      </c>
      <c r="E74">
        <f t="shared" si="19"/>
        <v>0</v>
      </c>
      <c r="F74">
        <f t="shared" si="20"/>
        <v>0</v>
      </c>
      <c r="G74">
        <f t="shared" si="21"/>
        <v>0</v>
      </c>
      <c r="H74">
        <f t="shared" si="43"/>
        <v>0</v>
      </c>
      <c r="I74">
        <f t="shared" si="22"/>
        <v>0</v>
      </c>
      <c r="J74">
        <f t="shared" si="23"/>
        <v>1.9586469120151633</v>
      </c>
      <c r="K74">
        <f t="shared" si="24"/>
        <v>0</v>
      </c>
      <c r="L74">
        <f t="shared" si="25"/>
        <v>0</v>
      </c>
      <c r="M74">
        <f t="shared" si="26"/>
        <v>0</v>
      </c>
      <c r="N74">
        <f t="shared" si="27"/>
        <v>0</v>
      </c>
      <c r="O74">
        <f t="shared" si="28"/>
        <v>0</v>
      </c>
      <c r="S74" t="s">
        <v>59</v>
      </c>
      <c r="T74">
        <f t="shared" si="29"/>
        <v>0</v>
      </c>
      <c r="U74">
        <f t="shared" si="30"/>
        <v>0</v>
      </c>
      <c r="V74">
        <f t="shared" si="31"/>
        <v>0</v>
      </c>
      <c r="W74">
        <f t="shared" si="32"/>
        <v>0</v>
      </c>
      <c r="X74">
        <f t="shared" si="33"/>
        <v>0</v>
      </c>
      <c r="Y74">
        <f t="shared" si="34"/>
        <v>0</v>
      </c>
      <c r="Z74">
        <f t="shared" si="35"/>
        <v>0</v>
      </c>
      <c r="AA74">
        <f t="shared" si="36"/>
        <v>0</v>
      </c>
      <c r="AB74">
        <f t="shared" si="37"/>
        <v>-0.47683488047126377</v>
      </c>
      <c r="AC74">
        <f t="shared" si="38"/>
        <v>0</v>
      </c>
      <c r="AD74">
        <f t="shared" si="39"/>
        <v>0</v>
      </c>
      <c r="AE74">
        <f t="shared" si="40"/>
        <v>0</v>
      </c>
      <c r="AF74">
        <f t="shared" si="41"/>
        <v>0</v>
      </c>
      <c r="AG74">
        <f t="shared" si="42"/>
        <v>0</v>
      </c>
    </row>
    <row r="75" spans="1:33" x14ac:dyDescent="0.3">
      <c r="A75" t="s">
        <v>12</v>
      </c>
      <c r="B75">
        <f t="shared" si="16"/>
        <v>6.586534275810263E-2</v>
      </c>
      <c r="C75">
        <f t="shared" si="17"/>
        <v>0</v>
      </c>
      <c r="D75">
        <f t="shared" si="18"/>
        <v>0</v>
      </c>
      <c r="E75">
        <f t="shared" si="19"/>
        <v>0</v>
      </c>
      <c r="F75">
        <f t="shared" si="20"/>
        <v>0</v>
      </c>
      <c r="G75">
        <f t="shared" si="21"/>
        <v>0</v>
      </c>
      <c r="H75">
        <f t="shared" si="43"/>
        <v>0.68933460997994389</v>
      </c>
      <c r="I75">
        <f t="shared" si="22"/>
        <v>0</v>
      </c>
      <c r="J75">
        <f t="shared" si="23"/>
        <v>0</v>
      </c>
      <c r="K75">
        <f t="shared" si="24"/>
        <v>0</v>
      </c>
      <c r="L75" s="5">
        <f t="shared" si="25"/>
        <v>3.3361139119820851</v>
      </c>
      <c r="M75">
        <f t="shared" si="26"/>
        <v>0</v>
      </c>
      <c r="N75">
        <f t="shared" si="27"/>
        <v>0</v>
      </c>
      <c r="O75">
        <f t="shared" si="28"/>
        <v>0</v>
      </c>
      <c r="S75" t="s">
        <v>12</v>
      </c>
      <c r="T75">
        <f t="shared" si="29"/>
        <v>6.1634724903357391E-2</v>
      </c>
      <c r="U75">
        <f t="shared" si="30"/>
        <v>0</v>
      </c>
      <c r="V75">
        <f t="shared" si="31"/>
        <v>0</v>
      </c>
      <c r="W75">
        <f t="shared" si="32"/>
        <v>0</v>
      </c>
      <c r="X75">
        <f t="shared" si="33"/>
        <v>0</v>
      </c>
      <c r="Y75">
        <f t="shared" si="34"/>
        <v>0</v>
      </c>
      <c r="Z75">
        <f t="shared" si="35"/>
        <v>0.57978771981927957</v>
      </c>
      <c r="AA75">
        <f t="shared" si="36"/>
        <v>0</v>
      </c>
      <c r="AB75">
        <f t="shared" si="37"/>
        <v>0</v>
      </c>
      <c r="AC75">
        <f t="shared" si="38"/>
        <v>0</v>
      </c>
      <c r="AD75" s="5">
        <f t="shared" si="39"/>
        <v>3.3480744794186341</v>
      </c>
      <c r="AE75">
        <f t="shared" si="40"/>
        <v>0</v>
      </c>
      <c r="AF75">
        <f t="shared" si="41"/>
        <v>0</v>
      </c>
      <c r="AG75">
        <f t="shared" si="42"/>
        <v>0</v>
      </c>
    </row>
    <row r="76" spans="1:33" x14ac:dyDescent="0.3">
      <c r="A76" t="s">
        <v>13</v>
      </c>
      <c r="B76">
        <f t="shared" si="16"/>
        <v>0</v>
      </c>
      <c r="C76">
        <f t="shared" si="17"/>
        <v>0</v>
      </c>
      <c r="D76">
        <f t="shared" si="18"/>
        <v>0</v>
      </c>
      <c r="E76">
        <f t="shared" si="19"/>
        <v>0</v>
      </c>
      <c r="F76">
        <f t="shared" si="20"/>
        <v>-4.9843114493163809E-2</v>
      </c>
      <c r="G76">
        <f t="shared" si="21"/>
        <v>0</v>
      </c>
      <c r="H76">
        <f t="shared" si="43"/>
        <v>0.68936928277205944</v>
      </c>
      <c r="I76">
        <f t="shared" si="22"/>
        <v>0</v>
      </c>
      <c r="J76">
        <f t="shared" si="23"/>
        <v>0</v>
      </c>
      <c r="K76">
        <f t="shared" si="24"/>
        <v>0</v>
      </c>
      <c r="L76">
        <f t="shared" si="25"/>
        <v>0.30349931767229671</v>
      </c>
      <c r="M76">
        <f t="shared" si="26"/>
        <v>0</v>
      </c>
      <c r="N76">
        <f t="shared" si="27"/>
        <v>0</v>
      </c>
      <c r="O76">
        <f t="shared" si="28"/>
        <v>0</v>
      </c>
      <c r="S76" t="s">
        <v>13</v>
      </c>
      <c r="T76">
        <f t="shared" si="29"/>
        <v>0</v>
      </c>
      <c r="U76">
        <f t="shared" si="30"/>
        <v>0</v>
      </c>
      <c r="V76">
        <f t="shared" si="31"/>
        <v>0</v>
      </c>
      <c r="W76">
        <f t="shared" si="32"/>
        <v>0</v>
      </c>
      <c r="X76">
        <f t="shared" si="33"/>
        <v>-7.7390258693109892E-2</v>
      </c>
      <c r="Y76">
        <f t="shared" si="34"/>
        <v>0</v>
      </c>
      <c r="Z76">
        <f t="shared" si="35"/>
        <v>0.70160044638997587</v>
      </c>
      <c r="AA76">
        <f t="shared" si="36"/>
        <v>0</v>
      </c>
      <c r="AB76">
        <f t="shared" si="37"/>
        <v>0</v>
      </c>
      <c r="AC76">
        <f t="shared" si="38"/>
        <v>0</v>
      </c>
      <c r="AD76">
        <f t="shared" si="39"/>
        <v>0.44111952747212002</v>
      </c>
      <c r="AE76">
        <f t="shared" si="40"/>
        <v>0</v>
      </c>
      <c r="AF76">
        <f t="shared" si="41"/>
        <v>0</v>
      </c>
      <c r="AG76">
        <f t="shared" si="42"/>
        <v>0</v>
      </c>
    </row>
    <row r="77" spans="1:33" x14ac:dyDescent="0.3">
      <c r="A77" s="1"/>
      <c r="S77" s="1"/>
    </row>
    <row r="78" spans="1:33" x14ac:dyDescent="0.3">
      <c r="A78" s="1"/>
      <c r="S78" s="1"/>
    </row>
    <row r="80" spans="1:33" x14ac:dyDescent="0.3">
      <c r="A80" s="17" t="s">
        <v>21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S80" s="17" t="s">
        <v>21</v>
      </c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spans="1:30" x14ac:dyDescent="0.3">
      <c r="A81" s="1" t="s">
        <v>33</v>
      </c>
      <c r="B81">
        <f>AVERAGE(B63:Q78)</f>
        <v>4.4637876858016269E-2</v>
      </c>
      <c r="C81" t="s">
        <v>34</v>
      </c>
      <c r="D81">
        <f>MEDIAN(B63:Q78)</f>
        <v>0</v>
      </c>
      <c r="E81" t="s">
        <v>37</v>
      </c>
      <c r="F81">
        <f>MIN(B63:Q78)</f>
        <v>-1.764140981104068</v>
      </c>
      <c r="G81" t="s">
        <v>38</v>
      </c>
      <c r="H81">
        <f>MAX(B63:Q78)</f>
        <v>3.3361139119820851</v>
      </c>
      <c r="I81" t="s">
        <v>35</v>
      </c>
      <c r="J81" cm="1">
        <f t="array" ref="J81">MIN(IF(B63:P77&lt;&gt;0,ABS(B63:P77)))</f>
        <v>1.4320122490361908E-3</v>
      </c>
      <c r="K81" t="s">
        <v>36</v>
      </c>
      <c r="L81" cm="1">
        <f t="array" ref="L81">MAX(ABS(B63:Q78))</f>
        <v>3.3361139119820851</v>
      </c>
      <c r="S81" s="1" t="s">
        <v>33</v>
      </c>
      <c r="T81">
        <f>AVERAGE(T63:AI78)</f>
        <v>2.2095710184760971E-2</v>
      </c>
      <c r="U81" t="s">
        <v>34</v>
      </c>
      <c r="V81">
        <f>MEDIAN(T63:AI78)</f>
        <v>0</v>
      </c>
      <c r="W81" t="s">
        <v>37</v>
      </c>
      <c r="X81">
        <f>MIN(T63:AI78)</f>
        <v>-1.8309786787813149</v>
      </c>
      <c r="Y81" t="s">
        <v>38</v>
      </c>
      <c r="Z81">
        <f>MAX(T63:AI78)</f>
        <v>3.3480744794186341</v>
      </c>
      <c r="AA81" t="s">
        <v>35</v>
      </c>
      <c r="AB81" cm="1">
        <f t="array" ref="AB81">MIN(IF(T63:AH77&lt;&gt;0,ABS(T63:AH77)))</f>
        <v>2.7414659035433775E-4</v>
      </c>
      <c r="AC81" t="s">
        <v>36</v>
      </c>
      <c r="AD81" cm="1">
        <f t="array" ref="AD81">MAX(ABS(T63:AI78))</f>
        <v>3.3480744794186341</v>
      </c>
    </row>
    <row r="86" spans="1:30" x14ac:dyDescent="0.3">
      <c r="A86" s="17" t="s">
        <v>30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spans="1:30" x14ac:dyDescent="0.3">
      <c r="A87" t="s">
        <v>26</v>
      </c>
      <c r="B87" t="s">
        <v>5</v>
      </c>
      <c r="C87" t="s">
        <v>55</v>
      </c>
      <c r="D87" t="s">
        <v>6</v>
      </c>
      <c r="E87" t="s">
        <v>7</v>
      </c>
      <c r="F87" t="s">
        <v>8</v>
      </c>
      <c r="G87" t="s">
        <v>56</v>
      </c>
      <c r="H87" t="s">
        <v>9</v>
      </c>
      <c r="I87" t="s">
        <v>57</v>
      </c>
      <c r="J87" t="s">
        <v>10</v>
      </c>
      <c r="K87" t="s">
        <v>58</v>
      </c>
      <c r="L87" t="s">
        <v>11</v>
      </c>
      <c r="M87" t="s">
        <v>59</v>
      </c>
      <c r="N87" t="s">
        <v>12</v>
      </c>
      <c r="O87" t="s">
        <v>13</v>
      </c>
      <c r="P87" s="1"/>
      <c r="Q87" s="1"/>
    </row>
    <row r="88" spans="1:30" x14ac:dyDescent="0.3">
      <c r="A88" t="s">
        <v>5</v>
      </c>
      <c r="B88">
        <v>0</v>
      </c>
      <c r="C88">
        <v>0</v>
      </c>
      <c r="D88">
        <v>0</v>
      </c>
      <c r="E88">
        <v>0</v>
      </c>
      <c r="F88">
        <v>0.78588277422537989</v>
      </c>
      <c r="G88">
        <v>0</v>
      </c>
      <c r="H88">
        <v>-2.2921417339702042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"/>
      <c r="Q88" s="1"/>
    </row>
    <row r="89" spans="1:30" x14ac:dyDescent="0.3">
      <c r="A89" t="s">
        <v>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"/>
      <c r="Q89" s="1"/>
    </row>
    <row r="90" spans="1:30" x14ac:dyDescent="0.3">
      <c r="A90" t="s">
        <v>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0.59597833091298014</v>
      </c>
      <c r="O90">
        <v>0</v>
      </c>
      <c r="P90" s="1"/>
      <c r="Q90" s="1"/>
    </row>
    <row r="91" spans="1:30" x14ac:dyDescent="0.3">
      <c r="A91" t="s">
        <v>7</v>
      </c>
      <c r="B91">
        <v>6.5449455119696798E-2</v>
      </c>
      <c r="C91">
        <v>0</v>
      </c>
      <c r="D91">
        <v>0</v>
      </c>
      <c r="E91">
        <v>0</v>
      </c>
      <c r="F91">
        <v>-0.56827765670788499</v>
      </c>
      <c r="G91">
        <v>0</v>
      </c>
      <c r="H91">
        <v>3.1311127838156603</v>
      </c>
      <c r="I91">
        <v>0</v>
      </c>
      <c r="J91">
        <v>0</v>
      </c>
      <c r="K91">
        <v>-0.88448321908037553</v>
      </c>
      <c r="L91">
        <v>-2.4659255794129731</v>
      </c>
      <c r="M91">
        <v>0</v>
      </c>
      <c r="N91">
        <v>0</v>
      </c>
      <c r="O91">
        <v>0</v>
      </c>
      <c r="P91" s="1"/>
      <c r="Q91" s="1"/>
    </row>
    <row r="92" spans="1:30" x14ac:dyDescent="0.3">
      <c r="A92" t="s">
        <v>8</v>
      </c>
      <c r="B92">
        <v>0</v>
      </c>
      <c r="C92">
        <v>0</v>
      </c>
      <c r="D92">
        <v>0</v>
      </c>
      <c r="E92">
        <v>0</v>
      </c>
      <c r="F92">
        <v>0.73399244765197558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"/>
      <c r="Q92" s="1"/>
    </row>
    <row r="93" spans="1:30" x14ac:dyDescent="0.3">
      <c r="A93" t="s">
        <v>56</v>
      </c>
      <c r="B93">
        <v>0</v>
      </c>
      <c r="C93">
        <v>0</v>
      </c>
      <c r="D93">
        <v>5.5964833745667075E-2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"/>
      <c r="Q93" s="1"/>
    </row>
    <row r="94" spans="1:30" x14ac:dyDescent="0.3">
      <c r="A94" t="s">
        <v>9</v>
      </c>
      <c r="B94">
        <v>0</v>
      </c>
      <c r="C94">
        <v>-3.1710234498746876</v>
      </c>
      <c r="D94">
        <v>0</v>
      </c>
      <c r="E94">
        <v>0</v>
      </c>
      <c r="F94">
        <v>0.19520802540621687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"/>
      <c r="Q94" s="1"/>
    </row>
    <row r="95" spans="1:30" x14ac:dyDescent="0.3">
      <c r="A95" t="s">
        <v>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0.69925218889113006</v>
      </c>
      <c r="O95">
        <v>0</v>
      </c>
      <c r="P95" s="1"/>
      <c r="Q95" s="1"/>
    </row>
    <row r="96" spans="1:30" x14ac:dyDescent="0.3">
      <c r="A96" t="s">
        <v>10</v>
      </c>
      <c r="B96">
        <v>-0.12049748519840234</v>
      </c>
      <c r="C96">
        <v>0</v>
      </c>
      <c r="D96">
        <v>0</v>
      </c>
      <c r="E96">
        <v>0</v>
      </c>
      <c r="F96">
        <v>0</v>
      </c>
      <c r="G96">
        <v>0</v>
      </c>
      <c r="H96" s="2">
        <v>-4.5621171287989579E-2</v>
      </c>
      <c r="I96">
        <v>0</v>
      </c>
      <c r="J96">
        <v>0</v>
      </c>
      <c r="K96">
        <v>-0.85888109069477525</v>
      </c>
      <c r="L96">
        <v>0</v>
      </c>
      <c r="M96">
        <v>0</v>
      </c>
      <c r="N96">
        <v>0</v>
      </c>
      <c r="O96">
        <v>0</v>
      </c>
      <c r="P96" s="1"/>
      <c r="Q96" s="1"/>
    </row>
    <row r="97" spans="1:17" x14ac:dyDescent="0.3">
      <c r="A97" t="s">
        <v>58</v>
      </c>
      <c r="B97">
        <v>-0.21321951227621766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"/>
      <c r="Q97" s="1"/>
    </row>
    <row r="98" spans="1:17" x14ac:dyDescent="0.3">
      <c r="A98" t="s">
        <v>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-0.78074367635773712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1"/>
      <c r="Q98" s="1"/>
    </row>
    <row r="99" spans="1:17" x14ac:dyDescent="0.3">
      <c r="A99" t="s">
        <v>59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s="2">
        <v>-1.6543312496498603</v>
      </c>
      <c r="K99">
        <v>0</v>
      </c>
      <c r="L99">
        <v>0</v>
      </c>
      <c r="M99">
        <v>0</v>
      </c>
      <c r="N99">
        <v>0</v>
      </c>
      <c r="O99">
        <v>0</v>
      </c>
      <c r="P99" s="1"/>
      <c r="Q99" s="1"/>
    </row>
    <row r="100" spans="1:17" x14ac:dyDescent="0.3">
      <c r="A100" t="s">
        <v>12</v>
      </c>
      <c r="B100">
        <v>0.17612174262627814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-0.92216574558467457</v>
      </c>
      <c r="I100">
        <v>0</v>
      </c>
      <c r="J100">
        <v>0</v>
      </c>
      <c r="K100">
        <v>0</v>
      </c>
      <c r="L100">
        <v>-4.3310418023722788</v>
      </c>
      <c r="M100">
        <v>0</v>
      </c>
      <c r="N100">
        <v>0</v>
      </c>
      <c r="O100">
        <v>0</v>
      </c>
      <c r="P100" s="1"/>
      <c r="Q100" s="1"/>
    </row>
    <row r="101" spans="1:17" x14ac:dyDescent="0.3">
      <c r="A101" t="s">
        <v>13</v>
      </c>
      <c r="B101">
        <v>0</v>
      </c>
      <c r="C101">
        <v>0</v>
      </c>
      <c r="D101">
        <v>0</v>
      </c>
      <c r="E101">
        <v>0</v>
      </c>
      <c r="F101">
        <v>0.58064512968927007</v>
      </c>
      <c r="G101">
        <v>0</v>
      </c>
      <c r="H101">
        <v>-1.9621209556515</v>
      </c>
      <c r="I101">
        <v>0</v>
      </c>
      <c r="J101">
        <v>0</v>
      </c>
      <c r="K101">
        <v>0</v>
      </c>
      <c r="L101">
        <v>6.6618114755436645E-3</v>
      </c>
      <c r="M101">
        <v>0</v>
      </c>
      <c r="N101">
        <v>0</v>
      </c>
      <c r="O101">
        <v>0</v>
      </c>
      <c r="P101" s="1"/>
      <c r="Q101" s="1"/>
    </row>
    <row r="103" spans="1:17" ht="15" thickBot="1" x14ac:dyDescent="0.35"/>
    <row r="104" spans="1:17" ht="82.8" customHeight="1" thickBot="1" x14ac:dyDescent="0.35">
      <c r="A104" s="15" t="s">
        <v>64</v>
      </c>
      <c r="B104" s="14" t="s">
        <v>65</v>
      </c>
      <c r="C104" t="s">
        <v>74</v>
      </c>
    </row>
    <row r="105" spans="1:17" ht="15" thickBot="1" x14ac:dyDescent="0.35">
      <c r="A105" s="10" t="s">
        <v>5</v>
      </c>
      <c r="B105" s="11" t="s">
        <v>7</v>
      </c>
      <c r="C105">
        <f>B91</f>
        <v>6.5449455119696798E-2</v>
      </c>
    </row>
    <row r="106" spans="1:17" ht="15" thickBot="1" x14ac:dyDescent="0.35">
      <c r="A106" s="12" t="s">
        <v>5</v>
      </c>
      <c r="B106" s="13" t="s">
        <v>10</v>
      </c>
      <c r="C106">
        <f>B96</f>
        <v>-0.12049748519840234</v>
      </c>
    </row>
    <row r="107" spans="1:17" ht="15" thickBot="1" x14ac:dyDescent="0.35">
      <c r="A107" s="12" t="s">
        <v>5</v>
      </c>
      <c r="B107" s="13" t="s">
        <v>58</v>
      </c>
      <c r="C107">
        <f>B97</f>
        <v>-0.21321951227621766</v>
      </c>
    </row>
    <row r="108" spans="1:17" ht="15" thickBot="1" x14ac:dyDescent="0.35">
      <c r="A108" s="12" t="s">
        <v>5</v>
      </c>
      <c r="B108" s="13" t="s">
        <v>12</v>
      </c>
      <c r="C108">
        <f>B100</f>
        <v>0.17612174262627814</v>
      </c>
    </row>
    <row r="109" spans="1:17" ht="15" thickBot="1" x14ac:dyDescent="0.35">
      <c r="A109" s="12" t="s">
        <v>55</v>
      </c>
      <c r="B109" s="13" t="s">
        <v>9</v>
      </c>
      <c r="C109">
        <f>C94</f>
        <v>-3.1710234498746876</v>
      </c>
    </row>
    <row r="110" spans="1:17" ht="15" thickBot="1" x14ac:dyDescent="0.35">
      <c r="A110" s="12" t="s">
        <v>6</v>
      </c>
      <c r="B110" s="13" t="s">
        <v>56</v>
      </c>
      <c r="C110">
        <f>D93</f>
        <v>5.5964833745667075E-2</v>
      </c>
    </row>
    <row r="111" spans="1:17" ht="15" thickBot="1" x14ac:dyDescent="0.35">
      <c r="A111" s="12" t="s">
        <v>8</v>
      </c>
      <c r="B111" s="13" t="s">
        <v>5</v>
      </c>
      <c r="C111">
        <f>F88</f>
        <v>0.78588277422537989</v>
      </c>
    </row>
    <row r="112" spans="1:17" ht="15" thickBot="1" x14ac:dyDescent="0.35">
      <c r="A112" s="12" t="s">
        <v>8</v>
      </c>
      <c r="B112" s="13" t="s">
        <v>7</v>
      </c>
      <c r="C112">
        <f>F91</f>
        <v>-0.56827765670788499</v>
      </c>
    </row>
    <row r="113" spans="1:3" ht="15" thickBot="1" x14ac:dyDescent="0.35">
      <c r="A113" s="12" t="s">
        <v>8</v>
      </c>
      <c r="B113" s="13" t="s">
        <v>8</v>
      </c>
      <c r="C113">
        <f>F92</f>
        <v>0.73399244765197558</v>
      </c>
    </row>
    <row r="114" spans="1:3" ht="15" thickBot="1" x14ac:dyDescent="0.35">
      <c r="A114" s="12" t="s">
        <v>8</v>
      </c>
      <c r="B114" s="13" t="s">
        <v>9</v>
      </c>
      <c r="C114">
        <f>F94</f>
        <v>0.19520802540621687</v>
      </c>
    </row>
    <row r="115" spans="1:3" ht="15" thickBot="1" x14ac:dyDescent="0.35">
      <c r="A115" s="12" t="s">
        <v>8</v>
      </c>
      <c r="B115" s="13" t="s">
        <v>13</v>
      </c>
      <c r="C115">
        <f>F101</f>
        <v>0.58064512968927007</v>
      </c>
    </row>
    <row r="116" spans="1:3" ht="15" thickBot="1" x14ac:dyDescent="0.35">
      <c r="A116" s="12" t="s">
        <v>9</v>
      </c>
      <c r="B116" s="13" t="s">
        <v>5</v>
      </c>
      <c r="C116">
        <f>H88</f>
        <v>-2.2921417339702042</v>
      </c>
    </row>
    <row r="117" spans="1:3" ht="15" thickBot="1" x14ac:dyDescent="0.35">
      <c r="A117" s="12" t="s">
        <v>9</v>
      </c>
      <c r="B117" s="13" t="s">
        <v>7</v>
      </c>
      <c r="C117">
        <f>H91</f>
        <v>3.1311127838156603</v>
      </c>
    </row>
    <row r="118" spans="1:3" ht="15" thickBot="1" x14ac:dyDescent="0.35">
      <c r="A118" s="12" t="s">
        <v>9</v>
      </c>
      <c r="B118" s="13" t="s">
        <v>10</v>
      </c>
      <c r="C118">
        <f>H96</f>
        <v>-4.5621171287989579E-2</v>
      </c>
    </row>
    <row r="119" spans="1:3" ht="15" thickBot="1" x14ac:dyDescent="0.35">
      <c r="A119" s="12" t="s">
        <v>9</v>
      </c>
      <c r="B119" s="13" t="s">
        <v>11</v>
      </c>
      <c r="C119">
        <f>H98</f>
        <v>-0.78074367635773712</v>
      </c>
    </row>
    <row r="120" spans="1:3" ht="15" thickBot="1" x14ac:dyDescent="0.35">
      <c r="A120" s="12" t="s">
        <v>9</v>
      </c>
      <c r="B120" s="13" t="s">
        <v>12</v>
      </c>
      <c r="C120">
        <f>H100</f>
        <v>-0.92216574558467457</v>
      </c>
    </row>
    <row r="121" spans="1:3" ht="15" thickBot="1" x14ac:dyDescent="0.35">
      <c r="A121" s="12" t="s">
        <v>9</v>
      </c>
      <c r="B121" s="13" t="s">
        <v>13</v>
      </c>
      <c r="C121">
        <f>H101</f>
        <v>-1.9621209556515</v>
      </c>
    </row>
    <row r="122" spans="1:3" ht="15" thickBot="1" x14ac:dyDescent="0.35">
      <c r="A122" s="12" t="s">
        <v>10</v>
      </c>
      <c r="B122" s="13" t="s">
        <v>59</v>
      </c>
      <c r="C122">
        <f>J99</f>
        <v>-1.6543312496498603</v>
      </c>
    </row>
    <row r="123" spans="1:3" ht="15" thickBot="1" x14ac:dyDescent="0.35">
      <c r="A123" s="12" t="s">
        <v>58</v>
      </c>
      <c r="B123" s="13" t="s">
        <v>7</v>
      </c>
      <c r="C123">
        <f>K91</f>
        <v>-0.88448321908037553</v>
      </c>
    </row>
    <row r="124" spans="1:3" ht="15" thickBot="1" x14ac:dyDescent="0.35">
      <c r="A124" s="12" t="s">
        <v>58</v>
      </c>
      <c r="B124" s="13" t="s">
        <v>10</v>
      </c>
      <c r="C124">
        <f>K96</f>
        <v>-0.85888109069477525</v>
      </c>
    </row>
    <row r="125" spans="1:3" ht="15" thickBot="1" x14ac:dyDescent="0.35">
      <c r="A125" s="12" t="s">
        <v>11</v>
      </c>
      <c r="B125" s="13" t="s">
        <v>7</v>
      </c>
      <c r="C125">
        <f>L91</f>
        <v>-2.4659255794129731</v>
      </c>
    </row>
    <row r="126" spans="1:3" ht="15" thickBot="1" x14ac:dyDescent="0.35">
      <c r="A126" s="12" t="s">
        <v>11</v>
      </c>
      <c r="B126" s="13" t="s">
        <v>12</v>
      </c>
      <c r="C126">
        <f>L100</f>
        <v>-4.3310418023722788</v>
      </c>
    </row>
    <row r="127" spans="1:3" ht="15" thickBot="1" x14ac:dyDescent="0.35">
      <c r="A127" s="12" t="s">
        <v>11</v>
      </c>
      <c r="B127" s="13" t="s">
        <v>13</v>
      </c>
      <c r="C127">
        <f>L101</f>
        <v>6.6618114755436645E-3</v>
      </c>
    </row>
    <row r="128" spans="1:3" ht="15" thickBot="1" x14ac:dyDescent="0.35">
      <c r="A128" s="12" t="s">
        <v>12</v>
      </c>
      <c r="B128" s="13" t="s">
        <v>6</v>
      </c>
      <c r="C128">
        <f>N90</f>
        <v>0.59597833091298014</v>
      </c>
    </row>
    <row r="129" spans="1:10" ht="15" thickBot="1" x14ac:dyDescent="0.35">
      <c r="A129" s="12" t="s">
        <v>12</v>
      </c>
      <c r="B129" s="13" t="s">
        <v>57</v>
      </c>
      <c r="C129">
        <f>N95</f>
        <v>0.69925218889113006</v>
      </c>
    </row>
    <row r="131" spans="1:10" ht="15" thickBot="1" x14ac:dyDescent="0.35"/>
    <row r="132" spans="1:10" ht="79.8" thickBot="1" x14ac:dyDescent="0.35">
      <c r="A132" s="15" t="s">
        <v>64</v>
      </c>
      <c r="B132" s="14" t="s">
        <v>65</v>
      </c>
      <c r="C132" s="14" t="s">
        <v>66</v>
      </c>
      <c r="D132" s="14" t="s">
        <v>67</v>
      </c>
      <c r="E132" s="14" t="s">
        <v>68</v>
      </c>
      <c r="F132" s="14" t="s">
        <v>69</v>
      </c>
      <c r="G132" s="14" t="s">
        <v>70</v>
      </c>
      <c r="H132" s="14" t="s">
        <v>71</v>
      </c>
      <c r="I132" s="16" t="s">
        <v>72</v>
      </c>
      <c r="J132" s="16" t="s">
        <v>73</v>
      </c>
    </row>
    <row r="133" spans="1:10" ht="15" thickBot="1" x14ac:dyDescent="0.35">
      <c r="A133" s="10" t="s">
        <v>5</v>
      </c>
      <c r="B133" s="11" t="s">
        <v>7</v>
      </c>
      <c r="C133" s="19">
        <v>0.14751321888723312</v>
      </c>
      <c r="D133" s="19">
        <v>6.5449455119696798E-2</v>
      </c>
      <c r="E133" s="19">
        <v>7.1573826206932187E-2</v>
      </c>
      <c r="F133" s="19">
        <v>3.1865194317558222E-2</v>
      </c>
      <c r="G133" s="19">
        <f>ABS(C133-D133)</f>
        <v>8.2063763767536324E-2</v>
      </c>
      <c r="H133" s="19">
        <f>ABS(E133-F133)</f>
        <v>3.9708631889373965E-2</v>
      </c>
      <c r="I133">
        <v>16</v>
      </c>
      <c r="J133">
        <v>19</v>
      </c>
    </row>
    <row r="134" spans="1:10" ht="15" thickBot="1" x14ac:dyDescent="0.35">
      <c r="A134" s="12" t="s">
        <v>5</v>
      </c>
      <c r="B134" s="13" t="s">
        <v>10</v>
      </c>
      <c r="C134" s="19">
        <v>-6.1378069585554959E-2</v>
      </c>
      <c r="D134" s="19">
        <v>-0.12049748519840234</v>
      </c>
      <c r="E134" s="19">
        <v>-6.1652216175909297E-2</v>
      </c>
      <c r="F134" s="19">
        <v>-6.8813005849881481E-2</v>
      </c>
      <c r="G134" s="19">
        <f t="shared" ref="G134:G157" si="44">ABS(C134-D134)</f>
        <v>5.9119415612847379E-2</v>
      </c>
      <c r="H134" s="7">
        <f t="shared" ref="H134:H157" si="45">ABS(E134-F134)</f>
        <v>7.1607896739721844E-3</v>
      </c>
      <c r="I134">
        <v>13</v>
      </c>
      <c r="J134">
        <v>9</v>
      </c>
    </row>
    <row r="135" spans="1:10" ht="15" thickBot="1" x14ac:dyDescent="0.35">
      <c r="A135" s="12" t="s">
        <v>5</v>
      </c>
      <c r="B135" s="13" t="s">
        <v>58</v>
      </c>
      <c r="C135" s="19">
        <v>-0.23161806753038197</v>
      </c>
      <c r="D135" s="19">
        <v>-0.21321951227621766</v>
      </c>
      <c r="E135" s="19">
        <v>-0.28712365475626156</v>
      </c>
      <c r="F135" s="19">
        <v>-0.30448756484662337</v>
      </c>
      <c r="G135" s="19">
        <f t="shared" si="44"/>
        <v>1.8398555254164312E-2</v>
      </c>
      <c r="H135" s="19">
        <f t="shared" si="45"/>
        <v>1.7363910090361812E-2</v>
      </c>
      <c r="I135">
        <v>9</v>
      </c>
      <c r="J135">
        <v>13</v>
      </c>
    </row>
    <row r="136" spans="1:10" ht="15" thickBot="1" x14ac:dyDescent="0.35">
      <c r="A136" s="12" t="s">
        <v>5</v>
      </c>
      <c r="B136" s="13" t="s">
        <v>12</v>
      </c>
      <c r="C136" s="19">
        <v>0.18165460940550121</v>
      </c>
      <c r="D136" s="19">
        <v>0.17612174262627814</v>
      </c>
      <c r="E136" s="19">
        <v>0.2432893343088586</v>
      </c>
      <c r="F136" s="19">
        <v>0.24198708538438077</v>
      </c>
      <c r="G136" s="7">
        <f t="shared" si="44"/>
        <v>5.5328667792230724E-3</v>
      </c>
      <c r="H136" s="7">
        <f t="shared" si="45"/>
        <v>1.3022489244778335E-3</v>
      </c>
      <c r="I136">
        <v>3</v>
      </c>
      <c r="J136">
        <v>6</v>
      </c>
    </row>
    <row r="137" spans="1:10" ht="15" thickBot="1" x14ac:dyDescent="0.35">
      <c r="A137" s="12" t="s">
        <v>55</v>
      </c>
      <c r="B137" s="13" t="s">
        <v>9</v>
      </c>
      <c r="C137" s="19">
        <v>-3.3992062505803697</v>
      </c>
      <c r="D137" s="19">
        <v>-3.1710234498746876</v>
      </c>
      <c r="E137" s="19">
        <v>-2.3911879276559449</v>
      </c>
      <c r="F137" s="19">
        <v>-2.2859301187216725</v>
      </c>
      <c r="G137" s="19">
        <f t="shared" si="44"/>
        <v>0.22818280070568209</v>
      </c>
      <c r="H137" s="19">
        <f t="shared" si="45"/>
        <v>0.10525780893427239</v>
      </c>
      <c r="I137">
        <v>20</v>
      </c>
      <c r="J137">
        <v>22</v>
      </c>
    </row>
    <row r="138" spans="1:10" ht="15" thickBot="1" x14ac:dyDescent="0.35">
      <c r="A138" s="12" t="s">
        <v>6</v>
      </c>
      <c r="B138" s="13" t="s">
        <v>56</v>
      </c>
      <c r="C138" s="19">
        <v>5.576752542996944E-2</v>
      </c>
      <c r="D138" s="19">
        <v>5.5964833745667075E-2</v>
      </c>
      <c r="E138" s="19">
        <v>3.7431238912035397E-2</v>
      </c>
      <c r="F138" s="19">
        <v>3.7671175033375671E-2</v>
      </c>
      <c r="G138" s="7">
        <f t="shared" si="44"/>
        <v>1.9730831569763491E-4</v>
      </c>
      <c r="H138" s="7">
        <f t="shared" si="45"/>
        <v>2.3993612134027426E-4</v>
      </c>
      <c r="I138">
        <v>1</v>
      </c>
      <c r="J138">
        <v>1</v>
      </c>
    </row>
    <row r="139" spans="1:10" ht="15" thickBot="1" x14ac:dyDescent="0.35">
      <c r="A139" s="12" t="s">
        <v>8</v>
      </c>
      <c r="B139" s="13" t="s">
        <v>5</v>
      </c>
      <c r="C139" s="19">
        <v>0.78035288163818284</v>
      </c>
      <c r="D139" s="19">
        <v>0.78588277422537989</v>
      </c>
      <c r="E139" s="19">
        <v>0.66350532959530661</v>
      </c>
      <c r="F139" s="19">
        <v>0.68187018212113626</v>
      </c>
      <c r="G139" s="19">
        <f t="shared" si="44"/>
        <v>5.5298925871970495E-3</v>
      </c>
      <c r="H139" s="19">
        <f t="shared" si="45"/>
        <v>1.8364852525829645E-2</v>
      </c>
      <c r="I139">
        <v>2</v>
      </c>
      <c r="J139">
        <v>14</v>
      </c>
    </row>
    <row r="140" spans="1:10" ht="15" thickBot="1" x14ac:dyDescent="0.35">
      <c r="A140" s="12" t="s">
        <v>8</v>
      </c>
      <c r="B140" s="13" t="s">
        <v>7</v>
      </c>
      <c r="C140" s="19">
        <v>-0.66102856586934355</v>
      </c>
      <c r="D140" s="19">
        <v>-0.56827765670788499</v>
      </c>
      <c r="E140" s="19">
        <v>-0.2993090140483296</v>
      </c>
      <c r="F140" s="19">
        <v>-0.27672273493358945</v>
      </c>
      <c r="G140" s="19">
        <f t="shared" si="44"/>
        <v>9.2750909161458561E-2</v>
      </c>
      <c r="H140" s="19">
        <f t="shared" si="45"/>
        <v>2.2586279114740149E-2</v>
      </c>
      <c r="I140">
        <v>17</v>
      </c>
      <c r="J140">
        <v>16</v>
      </c>
    </row>
    <row r="141" spans="1:10" ht="15" thickBot="1" x14ac:dyDescent="0.35">
      <c r="A141" s="12" t="s">
        <v>8</v>
      </c>
      <c r="B141" s="13" t="s">
        <v>8</v>
      </c>
      <c r="C141" s="19">
        <v>0.7438753131725957</v>
      </c>
      <c r="D141" s="19">
        <v>0.73399244765197558</v>
      </c>
      <c r="E141" s="19">
        <v>0.87760020862090182</v>
      </c>
      <c r="F141" s="19">
        <v>0.8773434949182759</v>
      </c>
      <c r="G141" s="19">
        <f t="shared" si="44"/>
        <v>9.882865520620121E-3</v>
      </c>
      <c r="H141" s="7">
        <f t="shared" si="45"/>
        <v>2.5671370262592141E-4</v>
      </c>
      <c r="I141">
        <v>6</v>
      </c>
      <c r="J141">
        <v>2</v>
      </c>
    </row>
    <row r="142" spans="1:10" ht="15" thickBot="1" x14ac:dyDescent="0.35">
      <c r="A142" s="12" t="s">
        <v>8</v>
      </c>
      <c r="B142" s="13" t="s">
        <v>9</v>
      </c>
      <c r="C142" s="19">
        <v>0.21158997158869031</v>
      </c>
      <c r="D142" s="19">
        <v>0.19520802540621687</v>
      </c>
      <c r="E142" s="19">
        <v>0.19574309530134421</v>
      </c>
      <c r="F142" s="19">
        <v>0.19664003765525306</v>
      </c>
      <c r="G142" s="19">
        <f t="shared" si="44"/>
        <v>1.6381946182473434E-2</v>
      </c>
      <c r="H142" s="7">
        <f t="shared" si="45"/>
        <v>8.9694235390885835E-4</v>
      </c>
      <c r="I142">
        <v>8</v>
      </c>
      <c r="J142">
        <v>4</v>
      </c>
    </row>
    <row r="143" spans="1:10" ht="15" thickBot="1" x14ac:dyDescent="0.35">
      <c r="A143" s="12" t="s">
        <v>8</v>
      </c>
      <c r="B143" s="13" t="s">
        <v>13</v>
      </c>
      <c r="C143" s="19">
        <v>0.61727416281388348</v>
      </c>
      <c r="D143" s="19">
        <v>0.58064512968927007</v>
      </c>
      <c r="E143" s="19">
        <v>0.53988390412077358</v>
      </c>
      <c r="F143" s="19">
        <v>0.53080201519610626</v>
      </c>
      <c r="G143" s="19">
        <f t="shared" si="44"/>
        <v>3.6629033124613408E-2</v>
      </c>
      <c r="H143" s="7">
        <f t="shared" si="45"/>
        <v>9.0818889246673251E-3</v>
      </c>
      <c r="I143">
        <v>12</v>
      </c>
      <c r="J143">
        <v>10</v>
      </c>
    </row>
    <row r="144" spans="1:10" ht="15" thickBot="1" x14ac:dyDescent="0.35">
      <c r="A144" s="12" t="s">
        <v>9</v>
      </c>
      <c r="B144" s="13" t="s">
        <v>5</v>
      </c>
      <c r="C144" s="19">
        <v>-2.2283148436118352</v>
      </c>
      <c r="D144" s="19">
        <v>-2.2921417339702042</v>
      </c>
      <c r="E144" s="19">
        <v>-1.3993429319260515</v>
      </c>
      <c r="F144" s="19">
        <v>-1.3339747003076681</v>
      </c>
      <c r="G144" s="19">
        <f t="shared" si="44"/>
        <v>6.3826890358368971E-2</v>
      </c>
      <c r="H144" s="19">
        <f t="shared" si="45"/>
        <v>6.5368231618383454E-2</v>
      </c>
      <c r="I144">
        <v>14</v>
      </c>
      <c r="J144">
        <v>20</v>
      </c>
    </row>
    <row r="145" spans="1:10" ht="15" thickBot="1" x14ac:dyDescent="0.35">
      <c r="A145" s="12" t="s">
        <v>9</v>
      </c>
      <c r="B145" s="13" t="s">
        <v>7</v>
      </c>
      <c r="C145" s="19">
        <v>3.1967942697718259</v>
      </c>
      <c r="D145" s="19">
        <v>3.1311127838156603</v>
      </c>
      <c r="E145" s="19">
        <v>1.365815590990511</v>
      </c>
      <c r="F145" s="19">
        <v>1.3669718027115922</v>
      </c>
      <c r="G145" s="19">
        <f t="shared" si="44"/>
        <v>6.5681485956165631E-2</v>
      </c>
      <c r="H145" s="7">
        <f t="shared" si="45"/>
        <v>1.1562117210812684E-3</v>
      </c>
      <c r="I145">
        <v>15</v>
      </c>
      <c r="J145">
        <v>5</v>
      </c>
    </row>
    <row r="146" spans="1:10" ht="15" thickBot="1" x14ac:dyDescent="0.35">
      <c r="A146" s="12" t="s">
        <v>9</v>
      </c>
      <c r="B146" s="13" t="s">
        <v>10</v>
      </c>
      <c r="C146" s="19">
        <v>1.2085921731591784</v>
      </c>
      <c r="D146" s="19">
        <v>-4.5621171287989579E-2</v>
      </c>
      <c r="E146" s="19">
        <v>0.88800559126708223</v>
      </c>
      <c r="F146" s="19">
        <v>0.88726244238913032</v>
      </c>
      <c r="G146" s="19">
        <f t="shared" si="44"/>
        <v>1.2542133444471679</v>
      </c>
      <c r="H146" s="7">
        <f t="shared" si="45"/>
        <v>7.4314887795190465E-4</v>
      </c>
      <c r="I146">
        <v>24</v>
      </c>
      <c r="J146">
        <v>3</v>
      </c>
    </row>
    <row r="147" spans="1:10" ht="15" thickBot="1" x14ac:dyDescent="0.35">
      <c r="A147" s="12" t="s">
        <v>9</v>
      </c>
      <c r="B147" s="13" t="s">
        <v>11</v>
      </c>
      <c r="C147" s="19">
        <v>-0.79059883702397815</v>
      </c>
      <c r="D147" s="19">
        <v>-0.78074367635773712</v>
      </c>
      <c r="E147" s="19">
        <v>-1.1129634538622215</v>
      </c>
      <c r="F147" s="19">
        <v>-1.0925358375551804</v>
      </c>
      <c r="G147" s="19">
        <f t="shared" si="44"/>
        <v>9.8551606662410363E-3</v>
      </c>
      <c r="H147" s="19">
        <f t="shared" si="45"/>
        <v>2.0427616307041152E-2</v>
      </c>
      <c r="I147">
        <v>5</v>
      </c>
      <c r="J147">
        <v>15</v>
      </c>
    </row>
    <row r="148" spans="1:10" ht="15" thickBot="1" x14ac:dyDescent="0.35">
      <c r="A148" s="12" t="s">
        <v>9</v>
      </c>
      <c r="B148" s="13" t="s">
        <v>12</v>
      </c>
      <c r="C148" s="19">
        <v>-0.89832187656836793</v>
      </c>
      <c r="D148" s="19">
        <v>-0.92216574558467457</v>
      </c>
      <c r="E148" s="19">
        <v>-0.31853415674908842</v>
      </c>
      <c r="F148" s="19">
        <v>-0.23283113560473068</v>
      </c>
      <c r="G148" s="19">
        <f t="shared" si="44"/>
        <v>2.384386901630664E-2</v>
      </c>
      <c r="H148" s="19">
        <f t="shared" si="45"/>
        <v>8.5703021144357738E-2</v>
      </c>
      <c r="I148">
        <v>11</v>
      </c>
      <c r="J148">
        <v>21</v>
      </c>
    </row>
    <row r="149" spans="1:10" ht="15" thickBot="1" x14ac:dyDescent="0.35">
      <c r="A149" s="12" t="s">
        <v>9</v>
      </c>
      <c r="B149" s="13" t="s">
        <v>13</v>
      </c>
      <c r="C149" s="19">
        <v>-2.0856754472723242</v>
      </c>
      <c r="D149" s="19">
        <v>-1.9621209556515</v>
      </c>
      <c r="E149" s="19">
        <v>-1.3840750008823484</v>
      </c>
      <c r="F149" s="19">
        <v>-1.2727516728794406</v>
      </c>
      <c r="G149" s="19">
        <f t="shared" si="44"/>
        <v>0.12355449162082421</v>
      </c>
      <c r="H149" s="19">
        <f t="shared" si="45"/>
        <v>0.11132332800290778</v>
      </c>
      <c r="I149">
        <v>19</v>
      </c>
      <c r="J149">
        <v>23</v>
      </c>
    </row>
    <row r="150" spans="1:10" ht="15" thickBot="1" x14ac:dyDescent="0.35">
      <c r="A150" s="12" t="s">
        <v>10</v>
      </c>
      <c r="B150" s="13" t="s">
        <v>59</v>
      </c>
      <c r="C150" s="19">
        <v>0.76589785051500092</v>
      </c>
      <c r="D150" s="19">
        <v>-1.6543312496498603</v>
      </c>
      <c r="E150" s="19">
        <v>0.28906297004373716</v>
      </c>
      <c r="F150" s="19">
        <v>0.30431566236530305</v>
      </c>
      <c r="G150" s="19">
        <f t="shared" si="44"/>
        <v>2.4202291001648613</v>
      </c>
      <c r="H150" s="19">
        <f t="shared" si="45"/>
        <v>1.5252692321565897E-2</v>
      </c>
      <c r="I150">
        <v>25</v>
      </c>
      <c r="J150">
        <v>12</v>
      </c>
    </row>
    <row r="151" spans="1:10" ht="15" thickBot="1" x14ac:dyDescent="0.35">
      <c r="A151" s="12" t="s">
        <v>58</v>
      </c>
      <c r="B151" s="13" t="s">
        <v>7</v>
      </c>
      <c r="C151" s="19">
        <v>-0.49513866025357683</v>
      </c>
      <c r="D151" s="19">
        <v>-0.88448321908037553</v>
      </c>
      <c r="E151" s="19">
        <v>-0.90408529462526876</v>
      </c>
      <c r="F151" s="19">
        <v>-1.0196334851106623</v>
      </c>
      <c r="G151" s="19">
        <f t="shared" si="44"/>
        <v>0.38934455882679869</v>
      </c>
      <c r="H151" s="19">
        <f t="shared" si="45"/>
        <v>0.11554819048539355</v>
      </c>
      <c r="I151">
        <v>22</v>
      </c>
      <c r="J151">
        <v>24</v>
      </c>
    </row>
    <row r="152" spans="1:10" ht="15" thickBot="1" x14ac:dyDescent="0.35">
      <c r="A152" s="12" t="s">
        <v>58</v>
      </c>
      <c r="B152" s="13" t="s">
        <v>10</v>
      </c>
      <c r="C152" s="19">
        <v>-0.31581847960864662</v>
      </c>
      <c r="D152" s="19">
        <v>-0.85888109069477525</v>
      </c>
      <c r="E152" s="19">
        <v>-0.42485101241941398</v>
      </c>
      <c r="F152" s="19">
        <v>-0.43030077623370155</v>
      </c>
      <c r="G152" s="19">
        <f t="shared" si="44"/>
        <v>0.54306261108612863</v>
      </c>
      <c r="H152" s="19">
        <f t="shared" si="45"/>
        <v>5.4497638142875782E-3</v>
      </c>
      <c r="I152">
        <v>23</v>
      </c>
      <c r="J152">
        <v>8</v>
      </c>
    </row>
    <row r="153" spans="1:10" ht="15" thickBot="1" x14ac:dyDescent="0.35">
      <c r="A153" s="12" t="s">
        <v>11</v>
      </c>
      <c r="B153" s="13" t="s">
        <v>7</v>
      </c>
      <c r="C153" s="19">
        <v>-2.7644773358532286</v>
      </c>
      <c r="D153" s="19">
        <v>-2.4659255794129731</v>
      </c>
      <c r="E153" s="19">
        <v>-1.5710570539715525</v>
      </c>
      <c r="F153" s="19">
        <v>-1.4252631011315533</v>
      </c>
      <c r="G153" s="19">
        <f t="shared" si="44"/>
        <v>0.29855175644025556</v>
      </c>
      <c r="H153" s="19">
        <f t="shared" si="45"/>
        <v>0.14579395283999919</v>
      </c>
      <c r="I153">
        <v>21</v>
      </c>
      <c r="J153">
        <v>25</v>
      </c>
    </row>
    <row r="154" spans="1:10" ht="15" thickBot="1" x14ac:dyDescent="0.35">
      <c r="A154" s="12" t="s">
        <v>11</v>
      </c>
      <c r="B154" s="13" t="s">
        <v>12</v>
      </c>
      <c r="C154" s="19">
        <v>-4.3197690659326735</v>
      </c>
      <c r="D154" s="19">
        <v>-4.3310418023722788</v>
      </c>
      <c r="E154" s="19">
        <v>-0.97169458651403928</v>
      </c>
      <c r="F154" s="19">
        <v>-0.99492789039019358</v>
      </c>
      <c r="G154" s="19">
        <f t="shared" si="44"/>
        <v>1.1272736439605247E-2</v>
      </c>
      <c r="H154" s="19">
        <f t="shared" si="45"/>
        <v>2.3233303876154299E-2</v>
      </c>
      <c r="I154">
        <v>7</v>
      </c>
      <c r="J154">
        <v>17</v>
      </c>
    </row>
    <row r="155" spans="1:10" ht="15" thickBot="1" x14ac:dyDescent="0.35">
      <c r="A155" s="12" t="s">
        <v>11</v>
      </c>
      <c r="B155" s="13" t="s">
        <v>13</v>
      </c>
      <c r="C155" s="19">
        <v>-0.10544107014441266</v>
      </c>
      <c r="D155" s="19">
        <v>6.6618114755436645E-3</v>
      </c>
      <c r="E155" s="19">
        <v>0.33567845732770735</v>
      </c>
      <c r="F155" s="19">
        <v>0.31016112914784039</v>
      </c>
      <c r="G155" s="19">
        <f t="shared" si="44"/>
        <v>0.11210288161995632</v>
      </c>
      <c r="H155" s="19">
        <f t="shared" si="45"/>
        <v>2.551732817986696E-2</v>
      </c>
      <c r="I155">
        <v>18</v>
      </c>
      <c r="J155">
        <v>18</v>
      </c>
    </row>
    <row r="156" spans="1:10" ht="15" thickBot="1" x14ac:dyDescent="0.35">
      <c r="A156" s="12" t="s">
        <v>12</v>
      </c>
      <c r="B156" s="13" t="s">
        <v>6</v>
      </c>
      <c r="C156" s="19">
        <v>0.57588084463484135</v>
      </c>
      <c r="D156" s="19">
        <v>0.59597833091298014</v>
      </c>
      <c r="E156" s="19">
        <v>0.23271564228166022</v>
      </c>
      <c r="F156" s="19">
        <v>0.24570551758541972</v>
      </c>
      <c r="G156" s="19">
        <f t="shared" si="44"/>
        <v>2.0097486278138788E-2</v>
      </c>
      <c r="H156" s="19">
        <f t="shared" si="45"/>
        <v>1.2989875303759502E-2</v>
      </c>
      <c r="I156">
        <v>10</v>
      </c>
      <c r="J156">
        <v>11</v>
      </c>
    </row>
    <row r="157" spans="1:10" ht="15" thickBot="1" x14ac:dyDescent="0.35">
      <c r="A157" s="12" t="s">
        <v>12</v>
      </c>
      <c r="B157" s="13" t="s">
        <v>57</v>
      </c>
      <c r="C157" s="19">
        <v>0.69106927693269604</v>
      </c>
      <c r="D157" s="19">
        <v>0.69925218889113006</v>
      </c>
      <c r="E157" s="19">
        <v>0.53580583893763489</v>
      </c>
      <c r="F157" s="19">
        <v>0.53039534435095304</v>
      </c>
      <c r="G157" s="7">
        <f t="shared" si="44"/>
        <v>8.1829119584340138E-3</v>
      </c>
      <c r="H157" s="7">
        <f t="shared" si="45"/>
        <v>5.4104945866818577E-3</v>
      </c>
      <c r="I157">
        <v>4</v>
      </c>
      <c r="J157">
        <v>7</v>
      </c>
    </row>
    <row r="161" spans="1:8" ht="15" thickBot="1" x14ac:dyDescent="0.35">
      <c r="C161" t="s">
        <v>75</v>
      </c>
      <c r="H161" t="s">
        <v>76</v>
      </c>
    </row>
    <row r="162" spans="1:8" ht="15" thickBot="1" x14ac:dyDescent="0.35">
      <c r="A162" s="10" t="s">
        <v>6</v>
      </c>
      <c r="B162" s="11" t="s">
        <v>56</v>
      </c>
      <c r="C162" s="20">
        <v>1.9730831569763491E-4</v>
      </c>
      <c r="F162" s="10" t="s">
        <v>6</v>
      </c>
      <c r="G162" s="11" t="s">
        <v>56</v>
      </c>
      <c r="H162" s="20">
        <v>2.3993612134027426E-4</v>
      </c>
    </row>
    <row r="163" spans="1:8" ht="15" thickBot="1" x14ac:dyDescent="0.35">
      <c r="A163" s="12" t="s">
        <v>8</v>
      </c>
      <c r="B163" s="13" t="s">
        <v>5</v>
      </c>
      <c r="C163" s="20">
        <v>5.5298925871970495E-3</v>
      </c>
      <c r="F163" s="12" t="s">
        <v>8</v>
      </c>
      <c r="G163" s="13" t="s">
        <v>8</v>
      </c>
      <c r="H163" s="20">
        <v>2.5671370262592141E-4</v>
      </c>
    </row>
    <row r="164" spans="1:8" ht="15" thickBot="1" x14ac:dyDescent="0.35">
      <c r="A164" s="12" t="s">
        <v>5</v>
      </c>
      <c r="B164" s="13" t="s">
        <v>12</v>
      </c>
      <c r="C164" s="20">
        <v>5.5328667792230724E-3</v>
      </c>
      <c r="F164" s="12" t="s">
        <v>9</v>
      </c>
      <c r="G164" s="13" t="s">
        <v>10</v>
      </c>
      <c r="H164" s="20">
        <v>7.4314887795190465E-4</v>
      </c>
    </row>
    <row r="165" spans="1:8" ht="15" thickBot="1" x14ac:dyDescent="0.35">
      <c r="A165" s="12" t="s">
        <v>12</v>
      </c>
      <c r="B165" s="13" t="s">
        <v>57</v>
      </c>
      <c r="C165" s="20">
        <v>8.1829119584340138E-3</v>
      </c>
      <c r="F165" s="12" t="s">
        <v>8</v>
      </c>
      <c r="G165" s="13" t="s">
        <v>9</v>
      </c>
      <c r="H165" s="20">
        <v>8.9694235390885835E-4</v>
      </c>
    </row>
    <row r="166" spans="1:8" ht="15" thickBot="1" x14ac:dyDescent="0.35">
      <c r="A166" s="12" t="s">
        <v>9</v>
      </c>
      <c r="B166" s="13" t="s">
        <v>11</v>
      </c>
      <c r="C166" s="20">
        <v>9.8551606662410363E-3</v>
      </c>
      <c r="F166" s="12" t="s">
        <v>9</v>
      </c>
      <c r="G166" s="13" t="s">
        <v>7</v>
      </c>
      <c r="H166" s="20">
        <v>1.1562117210812684E-3</v>
      </c>
    </row>
    <row r="167" spans="1:8" ht="15" thickBot="1" x14ac:dyDescent="0.35">
      <c r="A167" s="12" t="s">
        <v>8</v>
      </c>
      <c r="B167" s="13" t="s">
        <v>8</v>
      </c>
      <c r="C167">
        <v>9.882865520620121E-3</v>
      </c>
      <c r="F167" s="12" t="s">
        <v>5</v>
      </c>
      <c r="G167" s="13" t="s">
        <v>12</v>
      </c>
      <c r="H167" s="20">
        <v>1.3022489244778335E-3</v>
      </c>
    </row>
    <row r="168" spans="1:8" ht="15" thickBot="1" x14ac:dyDescent="0.35">
      <c r="A168" s="12" t="s">
        <v>11</v>
      </c>
      <c r="B168" s="13" t="s">
        <v>12</v>
      </c>
      <c r="C168">
        <v>1.1272736439605247E-2</v>
      </c>
      <c r="F168" s="12" t="s">
        <v>12</v>
      </c>
      <c r="G168" s="13" t="s">
        <v>57</v>
      </c>
      <c r="H168" s="20">
        <v>5.4104945866818577E-3</v>
      </c>
    </row>
    <row r="169" spans="1:8" ht="15" thickBot="1" x14ac:dyDescent="0.35">
      <c r="A169" s="12" t="s">
        <v>8</v>
      </c>
      <c r="B169" s="13" t="s">
        <v>9</v>
      </c>
      <c r="C169">
        <v>1.6381946182473434E-2</v>
      </c>
      <c r="F169" s="12" t="s">
        <v>58</v>
      </c>
      <c r="G169" s="13" t="s">
        <v>10</v>
      </c>
      <c r="H169" s="20">
        <v>5.4497638142875782E-3</v>
      </c>
    </row>
    <row r="170" spans="1:8" ht="15" thickBot="1" x14ac:dyDescent="0.35">
      <c r="A170" s="12" t="s">
        <v>5</v>
      </c>
      <c r="B170" s="13" t="s">
        <v>58</v>
      </c>
      <c r="C170">
        <v>1.8398555254164312E-2</v>
      </c>
      <c r="F170" s="12" t="s">
        <v>5</v>
      </c>
      <c r="G170" s="13" t="s">
        <v>10</v>
      </c>
      <c r="H170" s="20">
        <v>7.1607896739721844E-3</v>
      </c>
    </row>
    <row r="171" spans="1:8" ht="15" thickBot="1" x14ac:dyDescent="0.35">
      <c r="A171" s="12" t="s">
        <v>12</v>
      </c>
      <c r="B171" s="13" t="s">
        <v>6</v>
      </c>
      <c r="C171">
        <v>2.0097486278138788E-2</v>
      </c>
      <c r="F171" s="12" t="s">
        <v>8</v>
      </c>
      <c r="G171" s="13" t="s">
        <v>13</v>
      </c>
      <c r="H171" s="20">
        <v>9.0818889246673251E-3</v>
      </c>
    </row>
    <row r="172" spans="1:8" ht="15" thickBot="1" x14ac:dyDescent="0.35">
      <c r="A172" s="12" t="s">
        <v>9</v>
      </c>
      <c r="B172" s="13" t="s">
        <v>12</v>
      </c>
      <c r="C172">
        <v>2.384386901630664E-2</v>
      </c>
      <c r="F172" s="12" t="s">
        <v>12</v>
      </c>
      <c r="G172" s="13" t="s">
        <v>6</v>
      </c>
      <c r="H172">
        <v>1.2989875303759502E-2</v>
      </c>
    </row>
    <row r="173" spans="1:8" ht="15" thickBot="1" x14ac:dyDescent="0.35">
      <c r="A173" s="12" t="s">
        <v>8</v>
      </c>
      <c r="B173" s="13" t="s">
        <v>13</v>
      </c>
      <c r="C173">
        <v>3.6629033124613408E-2</v>
      </c>
      <c r="F173" s="12" t="s">
        <v>10</v>
      </c>
      <c r="G173" s="13" t="s">
        <v>59</v>
      </c>
      <c r="H173">
        <v>1.5252692321565897E-2</v>
      </c>
    </row>
    <row r="174" spans="1:8" ht="15" thickBot="1" x14ac:dyDescent="0.35">
      <c r="A174" s="12" t="s">
        <v>5</v>
      </c>
      <c r="B174" s="13" t="s">
        <v>10</v>
      </c>
      <c r="C174">
        <v>5.9119415612847379E-2</v>
      </c>
      <c r="F174" s="12" t="s">
        <v>5</v>
      </c>
      <c r="G174" s="13" t="s">
        <v>58</v>
      </c>
      <c r="H174">
        <v>1.7363910090361812E-2</v>
      </c>
    </row>
    <row r="175" spans="1:8" ht="15" thickBot="1" x14ac:dyDescent="0.35">
      <c r="A175" s="12" t="s">
        <v>9</v>
      </c>
      <c r="B175" s="13" t="s">
        <v>5</v>
      </c>
      <c r="C175">
        <v>6.3826890358368971E-2</v>
      </c>
      <c r="F175" s="12" t="s">
        <v>8</v>
      </c>
      <c r="G175" s="13" t="s">
        <v>5</v>
      </c>
      <c r="H175">
        <v>1.8364852525829645E-2</v>
      </c>
    </row>
    <row r="176" spans="1:8" ht="15" thickBot="1" x14ac:dyDescent="0.35">
      <c r="A176" s="12" t="s">
        <v>9</v>
      </c>
      <c r="B176" s="13" t="s">
        <v>7</v>
      </c>
      <c r="C176">
        <v>6.5681485956165631E-2</v>
      </c>
      <c r="F176" s="12" t="s">
        <v>9</v>
      </c>
      <c r="G176" s="13" t="s">
        <v>11</v>
      </c>
      <c r="H176">
        <v>2.0427616307041152E-2</v>
      </c>
    </row>
    <row r="177" spans="1:8" ht="15" thickBot="1" x14ac:dyDescent="0.35">
      <c r="A177" s="12" t="s">
        <v>5</v>
      </c>
      <c r="B177" s="13" t="s">
        <v>7</v>
      </c>
      <c r="C177">
        <v>8.2063763767536324E-2</v>
      </c>
      <c r="F177" s="12" t="s">
        <v>8</v>
      </c>
      <c r="G177" s="13" t="s">
        <v>7</v>
      </c>
      <c r="H177">
        <v>2.2586279114740149E-2</v>
      </c>
    </row>
    <row r="178" spans="1:8" ht="15" thickBot="1" x14ac:dyDescent="0.35">
      <c r="A178" s="12" t="s">
        <v>8</v>
      </c>
      <c r="B178" s="13" t="s">
        <v>7</v>
      </c>
      <c r="C178">
        <v>9.2750909161458561E-2</v>
      </c>
      <c r="F178" s="12" t="s">
        <v>11</v>
      </c>
      <c r="G178" s="13" t="s">
        <v>12</v>
      </c>
      <c r="H178">
        <v>2.3233303876154299E-2</v>
      </c>
    </row>
    <row r="179" spans="1:8" ht="15" thickBot="1" x14ac:dyDescent="0.35">
      <c r="A179" s="12" t="s">
        <v>11</v>
      </c>
      <c r="B179" s="13" t="s">
        <v>13</v>
      </c>
      <c r="C179">
        <v>0.11210288161995632</v>
      </c>
      <c r="F179" s="12" t="s">
        <v>11</v>
      </c>
      <c r="G179" s="13" t="s">
        <v>13</v>
      </c>
      <c r="H179">
        <v>2.551732817986696E-2</v>
      </c>
    </row>
    <row r="180" spans="1:8" ht="15" thickBot="1" x14ac:dyDescent="0.35">
      <c r="A180" s="12" t="s">
        <v>9</v>
      </c>
      <c r="B180" s="13" t="s">
        <v>13</v>
      </c>
      <c r="C180">
        <v>0.12355449162082421</v>
      </c>
      <c r="F180" s="12" t="s">
        <v>5</v>
      </c>
      <c r="G180" s="13" t="s">
        <v>7</v>
      </c>
      <c r="H180">
        <v>3.9708631889373965E-2</v>
      </c>
    </row>
    <row r="181" spans="1:8" ht="15" thickBot="1" x14ac:dyDescent="0.35">
      <c r="A181" s="12" t="s">
        <v>55</v>
      </c>
      <c r="B181" s="13" t="s">
        <v>9</v>
      </c>
      <c r="C181">
        <v>0.22818280070568209</v>
      </c>
      <c r="F181" s="12" t="s">
        <v>9</v>
      </c>
      <c r="G181" s="13" t="s">
        <v>5</v>
      </c>
      <c r="H181">
        <v>6.5368231618383454E-2</v>
      </c>
    </row>
    <row r="182" spans="1:8" ht="15" thickBot="1" x14ac:dyDescent="0.35">
      <c r="A182" s="12" t="s">
        <v>11</v>
      </c>
      <c r="B182" s="13" t="s">
        <v>7</v>
      </c>
      <c r="C182">
        <v>0.29855175644025556</v>
      </c>
      <c r="F182" s="12" t="s">
        <v>9</v>
      </c>
      <c r="G182" s="13" t="s">
        <v>12</v>
      </c>
      <c r="H182">
        <v>8.5703021144357738E-2</v>
      </c>
    </row>
    <row r="183" spans="1:8" ht="15" thickBot="1" x14ac:dyDescent="0.35">
      <c r="A183" s="12" t="s">
        <v>58</v>
      </c>
      <c r="B183" s="13" t="s">
        <v>7</v>
      </c>
      <c r="C183">
        <v>0.38934455882679869</v>
      </c>
      <c r="F183" s="12" t="s">
        <v>55</v>
      </c>
      <c r="G183" s="13" t="s">
        <v>9</v>
      </c>
      <c r="H183">
        <v>0.10525780893427239</v>
      </c>
    </row>
    <row r="184" spans="1:8" ht="15" thickBot="1" x14ac:dyDescent="0.35">
      <c r="A184" s="12" t="s">
        <v>58</v>
      </c>
      <c r="B184" s="13" t="s">
        <v>10</v>
      </c>
      <c r="C184">
        <v>0.54306261108612863</v>
      </c>
      <c r="F184" s="12" t="s">
        <v>9</v>
      </c>
      <c r="G184" s="13" t="s">
        <v>13</v>
      </c>
      <c r="H184">
        <v>0.11132332800290778</v>
      </c>
    </row>
    <row r="185" spans="1:8" ht="15" thickBot="1" x14ac:dyDescent="0.35">
      <c r="A185" s="12" t="s">
        <v>9</v>
      </c>
      <c r="B185" s="13" t="s">
        <v>10</v>
      </c>
      <c r="C185">
        <v>1.2542133444471679</v>
      </c>
      <c r="F185" s="12" t="s">
        <v>58</v>
      </c>
      <c r="G185" s="13" t="s">
        <v>7</v>
      </c>
      <c r="H185">
        <v>0.11554819048539355</v>
      </c>
    </row>
    <row r="186" spans="1:8" ht="15" thickBot="1" x14ac:dyDescent="0.35">
      <c r="A186" s="12" t="s">
        <v>10</v>
      </c>
      <c r="B186" s="13" t="s">
        <v>59</v>
      </c>
      <c r="C186">
        <v>2.4202291001648613</v>
      </c>
      <c r="F186" s="12" t="s">
        <v>11</v>
      </c>
      <c r="G186" s="13" t="s">
        <v>7</v>
      </c>
      <c r="H186">
        <v>0.14579395283999919</v>
      </c>
    </row>
    <row r="187" spans="1:8" x14ac:dyDescent="0.3">
      <c r="B187" s="21" t="s">
        <v>77</v>
      </c>
      <c r="C187" s="8">
        <f>AVERAGE(C162:C186)</f>
        <v>0.23593954567563066</v>
      </c>
      <c r="D187" s="8"/>
      <c r="E187" s="8"/>
      <c r="F187" s="8"/>
      <c r="G187" s="21" t="s">
        <v>77</v>
      </c>
      <c r="H187" s="8">
        <f>AVERAGE(H162:H186)</f>
        <v>3.4245486453400101E-2</v>
      </c>
    </row>
    <row r="188" spans="1:8" x14ac:dyDescent="0.3">
      <c r="B188" s="21" t="s">
        <v>78</v>
      </c>
      <c r="C188">
        <f>STDEV(C162:C186)</f>
        <v>0.52777062821637322</v>
      </c>
      <c r="G188" s="21" t="s">
        <v>78</v>
      </c>
      <c r="H188">
        <f>STDEV(H162:H186)</f>
        <v>4.3450667751813263E-2</v>
      </c>
    </row>
  </sheetData>
  <sortState xmlns:xlrd2="http://schemas.microsoft.com/office/spreadsheetml/2017/richdata2" ref="F162:H186">
    <sortCondition ref="H162:H186"/>
  </sortState>
  <mergeCells count="13">
    <mergeCell ref="A86:Q86"/>
    <mergeCell ref="A1:Q1"/>
    <mergeCell ref="S1:AI1"/>
    <mergeCell ref="A20:Q20"/>
    <mergeCell ref="S20:AI20"/>
    <mergeCell ref="A39:Q39"/>
    <mergeCell ref="S39:AI39"/>
    <mergeCell ref="A80:L80"/>
    <mergeCell ref="S58:AD58"/>
    <mergeCell ref="S80:AD80"/>
    <mergeCell ref="A61:Q61"/>
    <mergeCell ref="S61:AI61"/>
    <mergeCell ref="A58:L58"/>
  </mergeCells>
  <conditionalFormatting sqref="B3:Q18">
    <cfRule type="cellIs" dxfId="27" priority="17" operator="lessThan">
      <formula>0</formula>
    </cfRule>
    <cfRule type="cellIs" dxfId="26" priority="18" operator="greaterThan">
      <formula>0</formula>
    </cfRule>
  </conditionalFormatting>
  <conditionalFormatting sqref="B22:Q37">
    <cfRule type="cellIs" dxfId="25" priority="15" operator="greaterThan">
      <formula>0</formula>
    </cfRule>
    <cfRule type="cellIs" dxfId="24" priority="16" operator="lessThan">
      <formula>0</formula>
    </cfRule>
  </conditionalFormatting>
  <conditionalFormatting sqref="T3:AI18">
    <cfRule type="cellIs" dxfId="21" priority="13" operator="lessThan">
      <formula>0</formula>
    </cfRule>
    <cfRule type="cellIs" dxfId="20" priority="14" operator="greaterThan">
      <formula>0</formula>
    </cfRule>
  </conditionalFormatting>
  <conditionalFormatting sqref="T22:AI37">
    <cfRule type="cellIs" dxfId="19" priority="11" operator="lessThan">
      <formula>0</formula>
    </cfRule>
  </conditionalFormatting>
  <conditionalFormatting sqref="T22:AJ37">
    <cfRule type="cellIs" dxfId="18" priority="12" operator="greaterThan">
      <formula>0</formula>
    </cfRule>
  </conditionalFormatting>
  <conditionalFormatting sqref="B88:Q101">
    <cfRule type="cellIs" dxfId="15" priority="3" operator="lessThan">
      <formula>0</formula>
    </cfRule>
  </conditionalFormatting>
  <conditionalFormatting sqref="B88:Q101">
    <cfRule type="cellIs" dxfId="14" priority="4" operator="greaterThan">
      <formula>0</formula>
    </cfRule>
  </conditionalFormatting>
  <conditionalFormatting sqref="C133:F157">
    <cfRule type="colorScale" priority="1">
      <colorScale>
        <cfvo type="min"/>
        <cfvo type="num" val="0"/>
        <cfvo type="max"/>
        <color theme="4"/>
        <color theme="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C8E-463B-43C7-8BE4-E5AB2005F27D}">
  <dimension ref="A1:Q90"/>
  <sheetViews>
    <sheetView topLeftCell="A19" zoomScale="82" workbookViewId="0">
      <selection activeCell="B28" sqref="B28:F42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3.21875" bestFit="1" customWidth="1"/>
    <col min="4" max="4" width="15.109375" bestFit="1" customWidth="1"/>
    <col min="5" max="5" width="16.109375" bestFit="1" customWidth="1"/>
    <col min="6" max="7" width="12.6640625" bestFit="1" customWidth="1"/>
    <col min="8" max="8" width="12" bestFit="1" customWidth="1"/>
    <col min="10" max="15" width="12.6640625" bestFit="1" customWidth="1"/>
  </cols>
  <sheetData>
    <row r="1" spans="1:15" x14ac:dyDescent="0.3">
      <c r="A1" t="s">
        <v>39</v>
      </c>
    </row>
    <row r="2" spans="1:15" x14ac:dyDescent="0.3">
      <c r="B2" t="s">
        <v>1</v>
      </c>
      <c r="C2" s="6" t="s">
        <v>2</v>
      </c>
      <c r="D2" t="s">
        <v>3</v>
      </c>
      <c r="E2" s="6" t="s">
        <v>4</v>
      </c>
      <c r="F2" t="s">
        <v>33</v>
      </c>
      <c r="G2" t="s">
        <v>54</v>
      </c>
      <c r="H2" t="s">
        <v>34</v>
      </c>
    </row>
    <row r="3" spans="1:15" x14ac:dyDescent="0.3">
      <c r="A3" s="1" t="s">
        <v>40</v>
      </c>
      <c r="B3">
        <v>0.677609077647504</v>
      </c>
      <c r="C3" s="6">
        <v>0.67062404245787355</v>
      </c>
      <c r="D3">
        <v>0.66972554064254142</v>
      </c>
      <c r="E3" s="6">
        <v>0.66346662114235366</v>
      </c>
      <c r="F3">
        <f>AVERAGE(B3:E3)</f>
        <v>0.67035632047256821</v>
      </c>
      <c r="G3">
        <f>STDEV(B3:E3)</f>
        <v>5.7890702118943019E-3</v>
      </c>
      <c r="H3">
        <f>MEDIAN(B3:E3)</f>
        <v>0.67017479155020743</v>
      </c>
    </row>
    <row r="4" spans="1:15" x14ac:dyDescent="0.3">
      <c r="A4" s="1" t="s">
        <v>41</v>
      </c>
      <c r="B4">
        <v>0.60024411677863732</v>
      </c>
      <c r="C4" s="6">
        <v>1.9156416899414954</v>
      </c>
      <c r="D4">
        <v>0.56432988664941797</v>
      </c>
      <c r="E4" s="6">
        <v>1.8927758339288112</v>
      </c>
      <c r="F4">
        <f t="shared" ref="F4:F6" si="0">AVERAGE(B4:E4)</f>
        <v>1.2432478818245905</v>
      </c>
      <c r="G4">
        <f t="shared" ref="G4:G6" si="1">STDEV(B4:E4)</f>
        <v>0.76340978069767196</v>
      </c>
      <c r="H4">
        <f>MEDIAN(B4:E4)</f>
        <v>1.2465099753537241</v>
      </c>
    </row>
    <row r="5" spans="1:15" x14ac:dyDescent="0.3">
      <c r="A5" s="1" t="s">
        <v>42</v>
      </c>
      <c r="B5">
        <v>0.49891335506259965</v>
      </c>
      <c r="C5" s="6">
        <v>0.49891335506259965</v>
      </c>
      <c r="D5">
        <v>0.48839768804580391</v>
      </c>
      <c r="E5" s="6">
        <v>0.48839768804580391</v>
      </c>
      <c r="F5">
        <f t="shared" si="0"/>
        <v>0.49365552155420178</v>
      </c>
      <c r="G5">
        <f t="shared" si="1"/>
        <v>6.0712231828554874E-3</v>
      </c>
      <c r="H5">
        <f>MEDIAN(B5:E5)</f>
        <v>0.49365552155420178</v>
      </c>
    </row>
    <row r="6" spans="1:15" x14ac:dyDescent="0.3">
      <c r="A6" s="1" t="s">
        <v>43</v>
      </c>
      <c r="B6">
        <v>22177</v>
      </c>
      <c r="C6" s="6">
        <v>63902</v>
      </c>
      <c r="D6">
        <v>25836</v>
      </c>
      <c r="E6" s="6">
        <v>53846</v>
      </c>
      <c r="F6">
        <f t="shared" si="0"/>
        <v>41440.25</v>
      </c>
      <c r="G6">
        <f t="shared" si="1"/>
        <v>20599.338700955104</v>
      </c>
      <c r="H6">
        <f>MEDIAN(B6:E6)</f>
        <v>39841</v>
      </c>
    </row>
    <row r="8" spans="1:15" x14ac:dyDescent="0.3">
      <c r="A8" s="17" t="s">
        <v>50</v>
      </c>
      <c r="B8" s="18"/>
      <c r="C8" s="18"/>
      <c r="D8" s="18"/>
      <c r="E8" s="18"/>
      <c r="F8" s="18"/>
      <c r="G8" s="18"/>
      <c r="I8" s="17" t="s">
        <v>51</v>
      </c>
      <c r="J8" s="18"/>
      <c r="K8" s="18"/>
      <c r="L8" s="18"/>
      <c r="M8" s="18"/>
      <c r="N8" s="18"/>
      <c r="O8" s="18"/>
    </row>
    <row r="9" spans="1:15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s="3"/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</row>
    <row r="10" spans="1:15" x14ac:dyDescent="0.3">
      <c r="A10" t="s">
        <v>5</v>
      </c>
      <c r="B10">
        <v>0.73699982727243196</v>
      </c>
      <c r="C10">
        <v>0.15680217800000001</v>
      </c>
      <c r="D10">
        <v>0.86251240710008359</v>
      </c>
      <c r="E10">
        <v>1.1139073974723739</v>
      </c>
      <c r="F10">
        <v>0.78017787845285991</v>
      </c>
      <c r="G10" s="3"/>
      <c r="I10" t="s">
        <v>5</v>
      </c>
      <c r="J10">
        <v>0.71556795811930685</v>
      </c>
      <c r="K10">
        <v>0.15680217800000001</v>
      </c>
      <c r="L10">
        <v>0.86239125054397991</v>
      </c>
      <c r="M10">
        <v>1.0783254950418137</v>
      </c>
      <c r="N10">
        <v>0.78499623664953344</v>
      </c>
    </row>
    <row r="11" spans="1:15" x14ac:dyDescent="0.3">
      <c r="A11" t="s">
        <v>55</v>
      </c>
      <c r="B11">
        <v>0.55374970545051772</v>
      </c>
      <c r="C11">
        <v>0.96330777844494131</v>
      </c>
      <c r="D11">
        <v>0.82754116974050129</v>
      </c>
      <c r="E11">
        <v>0.82817738117605721</v>
      </c>
      <c r="F11">
        <v>0.53051330519734852</v>
      </c>
      <c r="G11" s="3"/>
      <c r="I11" t="s">
        <v>55</v>
      </c>
      <c r="J11">
        <v>0.4727245479855024</v>
      </c>
      <c r="K11">
        <v>0.84543310388792259</v>
      </c>
      <c r="L11">
        <v>0.85564317689793612</v>
      </c>
      <c r="M11">
        <v>0.95374407523897153</v>
      </c>
      <c r="N11">
        <v>0.47973452625302332</v>
      </c>
    </row>
    <row r="12" spans="1:15" x14ac:dyDescent="0.3">
      <c r="A12" t="s">
        <v>6</v>
      </c>
      <c r="B12">
        <v>0.52761259175205311</v>
      </c>
      <c r="C12">
        <v>0.25759298944073605</v>
      </c>
      <c r="D12">
        <v>0.35326105333333335</v>
      </c>
      <c r="E12">
        <v>0.20423916845367754</v>
      </c>
      <c r="F12">
        <v>0.29545179036275832</v>
      </c>
      <c r="G12" s="3"/>
      <c r="I12" t="s">
        <v>6</v>
      </c>
      <c r="J12">
        <v>0.50158393295450276</v>
      </c>
      <c r="K12">
        <v>0.27841553001991087</v>
      </c>
      <c r="L12">
        <v>0.35326105333333335</v>
      </c>
      <c r="M12">
        <v>0.19132515467038103</v>
      </c>
      <c r="N12">
        <v>0.28485221839015806</v>
      </c>
    </row>
    <row r="13" spans="1:15" x14ac:dyDescent="0.3">
      <c r="A13" t="s">
        <v>7</v>
      </c>
      <c r="B13">
        <v>2.1021626238993547</v>
      </c>
      <c r="C13">
        <v>1.1465715798772043</v>
      </c>
      <c r="D13">
        <v>1.6361784836586548</v>
      </c>
      <c r="E13">
        <v>0.4916199175</v>
      </c>
      <c r="F13">
        <v>1.4243066711778269</v>
      </c>
      <c r="G13" s="3"/>
      <c r="I13" t="s">
        <v>7</v>
      </c>
      <c r="J13">
        <v>2.1302910382889939</v>
      </c>
      <c r="K13">
        <v>1.1628422247995951</v>
      </c>
      <c r="L13">
        <v>1.5071614501371828</v>
      </c>
      <c r="M13">
        <v>0.4916199175</v>
      </c>
      <c r="N13">
        <v>1.4245313280966583</v>
      </c>
    </row>
    <row r="14" spans="1:15" x14ac:dyDescent="0.3">
      <c r="A14" t="s">
        <v>8</v>
      </c>
      <c r="B14">
        <v>0.63887493452754185</v>
      </c>
      <c r="C14">
        <v>0.65748338255197647</v>
      </c>
      <c r="D14">
        <v>0.30146751190992399</v>
      </c>
      <c r="E14">
        <v>2.79112192210812</v>
      </c>
      <c r="F14">
        <v>0.5935956166666666</v>
      </c>
      <c r="G14" s="3"/>
      <c r="I14" t="s">
        <v>8</v>
      </c>
      <c r="J14">
        <v>0.64444603550699064</v>
      </c>
      <c r="K14">
        <v>0.6573221730305131</v>
      </c>
      <c r="L14">
        <v>0.30450871714639854</v>
      </c>
      <c r="M14">
        <v>2.7815561083581968</v>
      </c>
      <c r="N14">
        <v>0.5935956166666666</v>
      </c>
    </row>
    <row r="15" spans="1:15" x14ac:dyDescent="0.3">
      <c r="A15" t="s">
        <v>56</v>
      </c>
      <c r="B15">
        <v>0.48482132600330652</v>
      </c>
      <c r="C15">
        <v>0.14274511693454342</v>
      </c>
      <c r="D15">
        <v>0.13007694704340897</v>
      </c>
      <c r="E15">
        <v>0.20392568941371059</v>
      </c>
      <c r="F15">
        <v>0.29555238844597692</v>
      </c>
      <c r="G15" s="3"/>
      <c r="I15" t="s">
        <v>56</v>
      </c>
      <c r="J15">
        <v>0.48168485299778602</v>
      </c>
      <c r="K15">
        <v>0.14317473172285258</v>
      </c>
      <c r="L15">
        <v>0.13060505087038732</v>
      </c>
      <c r="M15">
        <v>0.20536880296883861</v>
      </c>
      <c r="N15">
        <v>0.29569192814199896</v>
      </c>
    </row>
    <row r="16" spans="1:15" x14ac:dyDescent="0.3">
      <c r="A16" t="s">
        <v>9</v>
      </c>
      <c r="B16">
        <v>0.53327627016458079</v>
      </c>
      <c r="C16">
        <v>0.34714079483412924</v>
      </c>
      <c r="D16">
        <v>0.86199722739085782</v>
      </c>
      <c r="E16">
        <v>0.25672945334135705</v>
      </c>
      <c r="F16">
        <v>0.45384348854066331</v>
      </c>
      <c r="G16" s="3"/>
      <c r="I16" t="s">
        <v>9</v>
      </c>
      <c r="J16">
        <v>0.52997141623548116</v>
      </c>
      <c r="K16">
        <v>0.36656818904289667</v>
      </c>
      <c r="L16">
        <v>0.84525858345085458</v>
      </c>
      <c r="M16">
        <v>0.24332632158929066</v>
      </c>
      <c r="N16">
        <v>0.44868482185546377</v>
      </c>
    </row>
    <row r="17" spans="1:15" x14ac:dyDescent="0.3">
      <c r="A17" t="s">
        <v>57</v>
      </c>
      <c r="B17">
        <v>0.22012131955151615</v>
      </c>
      <c r="C17">
        <v>0.46736619744238461</v>
      </c>
      <c r="D17">
        <v>1.1745861076839672</v>
      </c>
      <c r="E17">
        <v>0.2469075842644344</v>
      </c>
      <c r="F17">
        <v>1.8425497343803141</v>
      </c>
      <c r="G17" s="3"/>
      <c r="I17" t="s">
        <v>57</v>
      </c>
      <c r="J17">
        <v>0.2299935527436176</v>
      </c>
      <c r="K17">
        <v>0.48248630649198976</v>
      </c>
      <c r="L17">
        <v>1.1068889167323961</v>
      </c>
      <c r="M17">
        <v>0.266682288413915</v>
      </c>
      <c r="N17">
        <v>1.8348273654106082</v>
      </c>
    </row>
    <row r="18" spans="1:15" x14ac:dyDescent="0.3">
      <c r="A18" t="s">
        <v>10</v>
      </c>
      <c r="B18">
        <v>0.99023329139145511</v>
      </c>
      <c r="C18">
        <v>0.25901557980665063</v>
      </c>
      <c r="D18">
        <v>0.94476210486757484</v>
      </c>
      <c r="E18">
        <v>0.19811449866419087</v>
      </c>
      <c r="F18">
        <v>1.0943433691498978</v>
      </c>
      <c r="G18" s="3"/>
      <c r="I18" t="s">
        <v>10</v>
      </c>
      <c r="J18">
        <v>0.99092537804375991</v>
      </c>
      <c r="K18">
        <v>0.26411735699738742</v>
      </c>
      <c r="L18">
        <v>0.93561055665952042</v>
      </c>
      <c r="M18">
        <v>0.20623704551373886</v>
      </c>
      <c r="N18">
        <v>1.0836467525384015</v>
      </c>
    </row>
    <row r="19" spans="1:15" x14ac:dyDescent="0.3">
      <c r="A19" t="s">
        <v>58</v>
      </c>
      <c r="B19">
        <v>1.7574070338793495</v>
      </c>
      <c r="C19">
        <v>0.87408852215135646</v>
      </c>
      <c r="D19">
        <v>0.43598564784768501</v>
      </c>
      <c r="E19">
        <v>0.21566128798815085</v>
      </c>
      <c r="F19">
        <v>0.57315884849341336</v>
      </c>
      <c r="G19" s="3"/>
      <c r="I19" t="s">
        <v>58</v>
      </c>
      <c r="J19">
        <v>1.7510270679785849</v>
      </c>
      <c r="K19">
        <v>0.87276046962683196</v>
      </c>
      <c r="L19">
        <v>0.44020728980090501</v>
      </c>
      <c r="M19">
        <v>0.21426705928251644</v>
      </c>
      <c r="N19">
        <v>0.62743582561492761</v>
      </c>
    </row>
    <row r="20" spans="1:15" x14ac:dyDescent="0.3">
      <c r="A20" t="s">
        <v>11</v>
      </c>
      <c r="B20">
        <v>0.28205701390974192</v>
      </c>
      <c r="C20">
        <v>0.77572607690537076</v>
      </c>
      <c r="D20">
        <v>0.44368178181218987</v>
      </c>
      <c r="E20">
        <v>0.24558455854960751</v>
      </c>
      <c r="F20">
        <v>0.23993660955979004</v>
      </c>
      <c r="G20" s="3"/>
      <c r="I20" t="s">
        <v>11</v>
      </c>
      <c r="J20">
        <v>0.26251340699840359</v>
      </c>
      <c r="K20">
        <v>0.85367681495217762</v>
      </c>
      <c r="L20">
        <v>0.41467658733978735</v>
      </c>
      <c r="M20">
        <v>0.28589069433548253</v>
      </c>
      <c r="N20">
        <v>0.25361192719316755</v>
      </c>
    </row>
    <row r="21" spans="1:15" x14ac:dyDescent="0.3">
      <c r="A21" t="s">
        <v>59</v>
      </c>
      <c r="B21">
        <v>0.48250621268239935</v>
      </c>
      <c r="C21">
        <v>0.31654441870024036</v>
      </c>
      <c r="D21">
        <v>0.30215497845820677</v>
      </c>
      <c r="E21">
        <v>0.50736370602128744</v>
      </c>
      <c r="F21">
        <v>0.29186965537302961</v>
      </c>
      <c r="G21" s="3"/>
      <c r="I21" t="s">
        <v>59</v>
      </c>
      <c r="J21">
        <v>0.48530570806121381</v>
      </c>
      <c r="K21">
        <v>0.29671259083056523</v>
      </c>
      <c r="L21">
        <v>0.30203394828579511</v>
      </c>
      <c r="M21">
        <v>0.5093843060412877</v>
      </c>
      <c r="N21">
        <v>0.28297048020183885</v>
      </c>
    </row>
    <row r="22" spans="1:15" x14ac:dyDescent="0.3">
      <c r="A22" t="s">
        <v>12</v>
      </c>
      <c r="B22">
        <v>0.91720296817724711</v>
      </c>
      <c r="C22">
        <v>0.72067821452777425</v>
      </c>
      <c r="D22">
        <v>0.81314424612153857</v>
      </c>
      <c r="E22">
        <v>0.5261683727110763</v>
      </c>
      <c r="F22">
        <v>0.38817630422570204</v>
      </c>
      <c r="G22" s="3"/>
      <c r="I22" t="s">
        <v>12</v>
      </c>
      <c r="J22">
        <v>0.88422635226419999</v>
      </c>
      <c r="K22">
        <v>0.66630984986663522</v>
      </c>
      <c r="L22">
        <v>0.80239606719095391</v>
      </c>
      <c r="M22">
        <v>0.45469783501404654</v>
      </c>
      <c r="N22">
        <v>0.35998027079809591</v>
      </c>
    </row>
    <row r="23" spans="1:15" x14ac:dyDescent="0.3">
      <c r="A23" t="s">
        <v>13</v>
      </c>
      <c r="B23">
        <v>0.41944440045456199</v>
      </c>
      <c r="C23">
        <v>0.7539538556855957</v>
      </c>
      <c r="D23">
        <v>1.382156185474404</v>
      </c>
      <c r="E23">
        <v>0.78923201113276542</v>
      </c>
      <c r="F23">
        <v>0.66317558218731654</v>
      </c>
      <c r="G23" s="3"/>
      <c r="I23" t="s">
        <v>13</v>
      </c>
      <c r="J23">
        <v>0.419848072432776</v>
      </c>
      <c r="K23">
        <v>0.74598972640181016</v>
      </c>
      <c r="L23">
        <v>1.3898310112580226</v>
      </c>
      <c r="M23">
        <v>0.75656573645674963</v>
      </c>
      <c r="N23">
        <v>0.66645649139354934</v>
      </c>
    </row>
    <row r="24" spans="1:15" x14ac:dyDescent="0.3">
      <c r="A24" s="3"/>
      <c r="B24" s="3"/>
      <c r="C24" s="3"/>
      <c r="D24" s="3"/>
      <c r="E24" s="3"/>
      <c r="F24" s="3"/>
      <c r="G24" s="3"/>
    </row>
    <row r="25" spans="1:15" x14ac:dyDescent="0.3">
      <c r="A25" s="3"/>
      <c r="B25" s="3"/>
      <c r="C25" s="3"/>
      <c r="D25" s="3"/>
      <c r="E25" s="3"/>
      <c r="F25" s="3"/>
      <c r="G25" s="3"/>
    </row>
    <row r="27" spans="1:15" x14ac:dyDescent="0.3">
      <c r="A27" s="17" t="s">
        <v>52</v>
      </c>
      <c r="B27" s="18"/>
      <c r="C27" s="18"/>
      <c r="D27" s="18"/>
      <c r="E27" s="18"/>
      <c r="F27" s="18"/>
      <c r="G27" s="18"/>
      <c r="I27" s="17" t="s">
        <v>53</v>
      </c>
      <c r="J27" s="18"/>
      <c r="K27" s="18"/>
      <c r="L27" s="18"/>
      <c r="M27" s="18"/>
      <c r="N27" s="18"/>
      <c r="O27" s="18"/>
    </row>
    <row r="28" spans="1:15" x14ac:dyDescent="0.3">
      <c r="A28" t="s">
        <v>44</v>
      </c>
      <c r="B28" t="s">
        <v>45</v>
      </c>
      <c r="C28" t="s">
        <v>46</v>
      </c>
      <c r="D28" t="s">
        <v>47</v>
      </c>
      <c r="E28" t="s">
        <v>48</v>
      </c>
      <c r="F28" t="s">
        <v>49</v>
      </c>
      <c r="G28" s="1"/>
      <c r="I28" t="s">
        <v>44</v>
      </c>
      <c r="J28" t="s">
        <v>45</v>
      </c>
      <c r="K28" t="s">
        <v>46</v>
      </c>
      <c r="L28" t="s">
        <v>47</v>
      </c>
      <c r="M28" t="s">
        <v>48</v>
      </c>
      <c r="N28" t="s">
        <v>49</v>
      </c>
      <c r="O28" s="1"/>
    </row>
    <row r="29" spans="1:15" x14ac:dyDescent="0.3">
      <c r="A29" t="s">
        <v>5</v>
      </c>
      <c r="B29">
        <v>0.74843158997499704</v>
      </c>
      <c r="C29">
        <v>0.14496421249999999</v>
      </c>
      <c r="D29">
        <v>0.86409102036015228</v>
      </c>
      <c r="E29">
        <v>1.1192760564090802</v>
      </c>
      <c r="F29">
        <v>0.79259059265976928</v>
      </c>
      <c r="G29" s="1"/>
      <c r="I29" t="s">
        <v>5</v>
      </c>
      <c r="J29">
        <v>0.72261605203299817</v>
      </c>
      <c r="K29">
        <v>0.14496421249999999</v>
      </c>
      <c r="L29">
        <v>0.86899568512625802</v>
      </c>
      <c r="M29">
        <v>1.0678681682793287</v>
      </c>
      <c r="N29">
        <v>0.79681405513612891</v>
      </c>
      <c r="O29" s="1"/>
    </row>
    <row r="30" spans="1:15" x14ac:dyDescent="0.3">
      <c r="A30" t="s">
        <v>55</v>
      </c>
      <c r="B30">
        <v>0.54671839174855186</v>
      </c>
      <c r="C30">
        <v>0.9534532515298354</v>
      </c>
      <c r="D30">
        <v>0.7600595740907794</v>
      </c>
      <c r="E30">
        <v>0.83705139250431826</v>
      </c>
      <c r="F30">
        <v>0.52579994825527288</v>
      </c>
      <c r="G30" s="1"/>
      <c r="I30" t="s">
        <v>55</v>
      </c>
      <c r="J30">
        <v>0.47105237323706234</v>
      </c>
      <c r="K30">
        <v>0.84287054563876984</v>
      </c>
      <c r="L30">
        <v>0.78722941055825002</v>
      </c>
      <c r="M30">
        <v>0.95703635350374505</v>
      </c>
      <c r="N30">
        <v>0.47879305111433884</v>
      </c>
      <c r="O30" s="1"/>
    </row>
    <row r="31" spans="1:15" x14ac:dyDescent="0.3">
      <c r="A31" t="s">
        <v>6</v>
      </c>
      <c r="B31">
        <v>0.52722090948962586</v>
      </c>
      <c r="C31">
        <v>0.25785173060509914</v>
      </c>
      <c r="D31">
        <v>0.35326105333333335</v>
      </c>
      <c r="E31">
        <v>0.203980457220585</v>
      </c>
      <c r="F31">
        <v>0.2950282086151666</v>
      </c>
      <c r="G31" s="1"/>
      <c r="I31" t="s">
        <v>6</v>
      </c>
      <c r="J31">
        <v>0.50085642445959444</v>
      </c>
      <c r="K31">
        <v>0.2777857243948923</v>
      </c>
      <c r="L31">
        <v>0.35326105333333335</v>
      </c>
      <c r="M31">
        <v>0.19083536015947586</v>
      </c>
      <c r="N31">
        <v>0.28436665984082821</v>
      </c>
      <c r="O31" s="1"/>
    </row>
    <row r="32" spans="1:15" x14ac:dyDescent="0.3">
      <c r="A32" t="s">
        <v>7</v>
      </c>
      <c r="B32">
        <v>2.1047229726904257</v>
      </c>
      <c r="C32">
        <v>1.14997812855773</v>
      </c>
      <c r="D32">
        <v>1.6592746103119005</v>
      </c>
      <c r="E32">
        <v>0.4916199175</v>
      </c>
      <c r="F32">
        <v>1.4199280586783016</v>
      </c>
      <c r="G32" s="1"/>
      <c r="I32" t="s">
        <v>7</v>
      </c>
      <c r="J32">
        <v>2.1268255421886186</v>
      </c>
      <c r="K32">
        <v>1.1721955798321924</v>
      </c>
      <c r="L32">
        <v>1.5270138821903798</v>
      </c>
      <c r="M32">
        <v>0.4916199175</v>
      </c>
      <c r="N32">
        <v>1.4204416845447023</v>
      </c>
      <c r="O32" s="1"/>
    </row>
    <row r="33" spans="1:15" x14ac:dyDescent="0.3">
      <c r="A33" t="s">
        <v>8</v>
      </c>
      <c r="B33">
        <v>0.63842908297648071</v>
      </c>
      <c r="C33">
        <v>0.65789285884887172</v>
      </c>
      <c r="D33">
        <v>0.3012795551194008</v>
      </c>
      <c r="E33">
        <v>2.7916131171853871</v>
      </c>
      <c r="F33">
        <v>0.5935956166666666</v>
      </c>
      <c r="G33" s="1"/>
      <c r="I33" t="s">
        <v>8</v>
      </c>
      <c r="J33">
        <v>0.64482608129107188</v>
      </c>
      <c r="K33">
        <v>0.65062538944117587</v>
      </c>
      <c r="L33">
        <v>0.30539787204527585</v>
      </c>
      <c r="M33">
        <v>2.7856586474834923</v>
      </c>
      <c r="N33">
        <v>0.5935956166666666</v>
      </c>
      <c r="O33" s="1"/>
    </row>
    <row r="34" spans="1:15" x14ac:dyDescent="0.3">
      <c r="A34" t="s">
        <v>56</v>
      </c>
      <c r="B34">
        <v>0.48477512268269013</v>
      </c>
      <c r="C34">
        <v>0.14274923877170145</v>
      </c>
      <c r="D34">
        <v>0.13008259982511178</v>
      </c>
      <c r="E34">
        <v>0.20394491653436134</v>
      </c>
      <c r="F34">
        <v>0.29556112982641108</v>
      </c>
      <c r="G34" s="1"/>
      <c r="I34" t="s">
        <v>56</v>
      </c>
      <c r="J34">
        <v>0.48162040577926979</v>
      </c>
      <c r="K34">
        <v>0.14318402012145301</v>
      </c>
      <c r="L34">
        <v>0.13061189454811301</v>
      </c>
      <c r="M34">
        <v>0.20539507921688205</v>
      </c>
      <c r="N34">
        <v>0.29570687058911044</v>
      </c>
      <c r="O34" s="1"/>
    </row>
    <row r="35" spans="1:15" x14ac:dyDescent="0.3">
      <c r="A35" t="s">
        <v>9</v>
      </c>
      <c r="B35">
        <v>0.5267949499429968</v>
      </c>
      <c r="C35">
        <v>0.32233224336901317</v>
      </c>
      <c r="D35">
        <v>0.85917284820316742</v>
      </c>
      <c r="E35">
        <v>0.25545788940939124</v>
      </c>
      <c r="F35">
        <v>0.44741398608570199</v>
      </c>
      <c r="G35" s="1"/>
      <c r="I35" t="s">
        <v>9</v>
      </c>
      <c r="J35">
        <v>0.52631904157627341</v>
      </c>
      <c r="K35">
        <v>0.33647627424739607</v>
      </c>
      <c r="L35">
        <v>0.8471211322519786</v>
      </c>
      <c r="M35">
        <v>0.2455238419821604</v>
      </c>
      <c r="N35">
        <v>0.44309640925430799</v>
      </c>
      <c r="O35" s="1"/>
    </row>
    <row r="36" spans="1:15" x14ac:dyDescent="0.3">
      <c r="A36" t="s">
        <v>57</v>
      </c>
      <c r="B36">
        <v>0.22025663857400821</v>
      </c>
      <c r="C36">
        <v>0.46669347915249526</v>
      </c>
      <c r="D36">
        <v>1.1750917994744301</v>
      </c>
      <c r="E36">
        <v>0.24702192783377327</v>
      </c>
      <c r="F36">
        <v>1.8427837409728243</v>
      </c>
      <c r="G36" s="1"/>
      <c r="I36" t="s">
        <v>57</v>
      </c>
      <c r="J36">
        <v>0.23017691610548274</v>
      </c>
      <c r="K36">
        <v>0.48177248556305008</v>
      </c>
      <c r="L36">
        <v>1.105710055781876</v>
      </c>
      <c r="M36">
        <v>0.26690099583432569</v>
      </c>
      <c r="N36">
        <v>1.8350602126849207</v>
      </c>
      <c r="O36" s="1"/>
    </row>
    <row r="37" spans="1:15" x14ac:dyDescent="0.3">
      <c r="A37" t="s">
        <v>10</v>
      </c>
      <c r="B37">
        <v>0.99075015757389662</v>
      </c>
      <c r="C37">
        <v>0.25892105452063852</v>
      </c>
      <c r="D37">
        <v>0.94359508339622311</v>
      </c>
      <c r="E37">
        <v>0.19917284494594387</v>
      </c>
      <c r="F37">
        <v>1.0944621233785294</v>
      </c>
      <c r="G37" s="1"/>
      <c r="I37" t="s">
        <v>10</v>
      </c>
      <c r="J37">
        <v>0.98894311265970913</v>
      </c>
      <c r="K37">
        <v>0.26358135400404731</v>
      </c>
      <c r="L37">
        <v>0.96543560987427257</v>
      </c>
      <c r="M37">
        <v>0.18351234242922229</v>
      </c>
      <c r="N37">
        <v>1.1621474618886254</v>
      </c>
      <c r="O37" s="1"/>
    </row>
    <row r="38" spans="1:15" x14ac:dyDescent="0.3">
      <c r="A38" t="s">
        <v>58</v>
      </c>
      <c r="B38">
        <v>1.8460145495979177</v>
      </c>
      <c r="C38">
        <v>0.88805744942117648</v>
      </c>
      <c r="D38">
        <v>0.36217802167299334</v>
      </c>
      <c r="E38">
        <v>0.1798353841400632</v>
      </c>
      <c r="F38">
        <v>0.49532180068038395</v>
      </c>
      <c r="G38" s="1"/>
      <c r="I38" t="s">
        <v>58</v>
      </c>
      <c r="J38">
        <v>1.8707056285536419</v>
      </c>
      <c r="K38">
        <v>0.88219848218103847</v>
      </c>
      <c r="L38">
        <v>0.34893112995436426</v>
      </c>
      <c r="M38">
        <v>0.17789707142451464</v>
      </c>
      <c r="N38">
        <v>0.53692457739171617</v>
      </c>
      <c r="O38" s="1"/>
    </row>
    <row r="39" spans="1:15" x14ac:dyDescent="0.3">
      <c r="A39" t="s">
        <v>11</v>
      </c>
      <c r="B39">
        <v>0.28095363458920164</v>
      </c>
      <c r="C39">
        <v>0.73001524488978509</v>
      </c>
      <c r="D39">
        <v>0.44263471981127805</v>
      </c>
      <c r="E39">
        <v>0.22929326542958109</v>
      </c>
      <c r="F39">
        <v>0.23525421481610545</v>
      </c>
      <c r="G39" s="1"/>
      <c r="I39" t="s">
        <v>11</v>
      </c>
      <c r="J39">
        <v>0.26224000701721661</v>
      </c>
      <c r="K39">
        <v>0.79251835700151263</v>
      </c>
      <c r="L39">
        <v>0.41411483440227187</v>
      </c>
      <c r="M39">
        <v>0.26395598743274767</v>
      </c>
      <c r="N39">
        <v>0.25715078888049131</v>
      </c>
      <c r="O39" s="1"/>
    </row>
    <row r="40" spans="1:15" x14ac:dyDescent="0.3">
      <c r="A40" t="s">
        <v>59</v>
      </c>
      <c r="B40">
        <v>0.48318430731764089</v>
      </c>
      <c r="C40">
        <v>0.31305689022645899</v>
      </c>
      <c r="D40">
        <v>0.27899263373607414</v>
      </c>
      <c r="E40">
        <v>0.46916150679662955</v>
      </c>
      <c r="F40">
        <v>0.29370159157723308</v>
      </c>
      <c r="G40" s="1"/>
      <c r="I40" t="s">
        <v>59</v>
      </c>
      <c r="J40">
        <v>0.46060892628924549</v>
      </c>
      <c r="K40">
        <v>0.26689795558668272</v>
      </c>
      <c r="L40">
        <v>0.27524700072554348</v>
      </c>
      <c r="M40">
        <v>0.48631304862432406</v>
      </c>
      <c r="N40">
        <v>0.27061668368307312</v>
      </c>
      <c r="O40" s="1"/>
    </row>
    <row r="41" spans="1:15" x14ac:dyDescent="0.3">
      <c r="A41" t="s">
        <v>12</v>
      </c>
      <c r="B41">
        <v>0.92309652407077591</v>
      </c>
      <c r="C41">
        <v>0.71047735432989134</v>
      </c>
      <c r="D41">
        <v>0.80860970881949668</v>
      </c>
      <c r="E41">
        <v>0.53209549992066096</v>
      </c>
      <c r="F41">
        <v>0.38532825542203203</v>
      </c>
      <c r="G41" s="1"/>
      <c r="I41" t="s">
        <v>12</v>
      </c>
      <c r="J41">
        <v>0.88389100041515201</v>
      </c>
      <c r="K41">
        <v>0.66010577827950256</v>
      </c>
      <c r="L41">
        <v>0.80575056002694367</v>
      </c>
      <c r="M41">
        <v>0.45126528104259317</v>
      </c>
      <c r="N41">
        <v>0.3598191033459277</v>
      </c>
      <c r="O41" s="1"/>
    </row>
    <row r="42" spans="1:15" x14ac:dyDescent="0.3">
      <c r="A42" t="s">
        <v>13</v>
      </c>
      <c r="B42">
        <v>0.43317445876940225</v>
      </c>
      <c r="C42">
        <v>0.773297341935408</v>
      </c>
      <c r="D42">
        <v>1.3323502317490543</v>
      </c>
      <c r="E42">
        <v>0.83435722874743867</v>
      </c>
      <c r="F42">
        <v>0.66033613412259295</v>
      </c>
      <c r="G42" s="1"/>
      <c r="I42" t="s">
        <v>13</v>
      </c>
      <c r="J42">
        <v>0.43068364956026833</v>
      </c>
      <c r="K42">
        <v>0.75785352391169092</v>
      </c>
      <c r="L42">
        <v>1.3527819328479591</v>
      </c>
      <c r="M42">
        <v>0.8017400044193731</v>
      </c>
      <c r="N42">
        <v>0.66120860264484982</v>
      </c>
      <c r="O42" s="1"/>
    </row>
    <row r="43" spans="1:15" x14ac:dyDescent="0.3">
      <c r="A43" s="1"/>
      <c r="B43" s="1"/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</row>
    <row r="46" spans="1:15" x14ac:dyDescent="0.3">
      <c r="A46" s="17" t="s">
        <v>31</v>
      </c>
      <c r="B46" s="17"/>
      <c r="C46" s="17"/>
      <c r="D46" s="17"/>
      <c r="E46" s="17"/>
      <c r="F46" s="17"/>
      <c r="G46" s="17"/>
      <c r="I46" s="17" t="s">
        <v>32</v>
      </c>
      <c r="J46" s="17"/>
      <c r="K46" s="17"/>
      <c r="L46" s="17"/>
      <c r="M46" s="17"/>
      <c r="N46" s="17"/>
      <c r="O46" s="17"/>
    </row>
    <row r="47" spans="1:15" x14ac:dyDescent="0.3">
      <c r="A47" t="s">
        <v>44</v>
      </c>
      <c r="B47" t="s">
        <v>45</v>
      </c>
      <c r="C47" t="s">
        <v>46</v>
      </c>
      <c r="D47" t="s">
        <v>47</v>
      </c>
      <c r="E47" t="s">
        <v>48</v>
      </c>
      <c r="F47" t="s">
        <v>49</v>
      </c>
      <c r="G47" s="1"/>
      <c r="I47" t="s">
        <v>44</v>
      </c>
      <c r="J47" t="s">
        <v>45</v>
      </c>
      <c r="K47" t="s">
        <v>46</v>
      </c>
      <c r="L47" t="s">
        <v>47</v>
      </c>
      <c r="M47" t="s">
        <v>48</v>
      </c>
      <c r="N47" t="s">
        <v>49</v>
      </c>
      <c r="O47" s="1"/>
    </row>
    <row r="48" spans="1:15" x14ac:dyDescent="0.3">
      <c r="A48" t="s">
        <v>5</v>
      </c>
      <c r="B48">
        <f>B29-B10</f>
        <v>1.1431762702565074E-2</v>
      </c>
      <c r="C48">
        <f t="shared" ref="C48:F48" si="2">C29-C10</f>
        <v>-1.1837965500000019E-2</v>
      </c>
      <c r="D48">
        <f t="shared" si="2"/>
        <v>1.5786132600686953E-3</v>
      </c>
      <c r="E48">
        <f t="shared" si="2"/>
        <v>5.3686589367063497E-3</v>
      </c>
      <c r="F48">
        <f t="shared" si="2"/>
        <v>1.241271420690937E-2</v>
      </c>
      <c r="I48" t="s">
        <v>5</v>
      </c>
      <c r="J48">
        <f>J29-J10</f>
        <v>7.0480939136913223E-3</v>
      </c>
      <c r="K48">
        <f t="shared" ref="K48:N48" si="3">K29-K10</f>
        <v>-1.1837965500000019E-2</v>
      </c>
      <c r="L48">
        <f t="shared" si="3"/>
        <v>6.604434582278107E-3</v>
      </c>
      <c r="M48">
        <f t="shared" si="3"/>
        <v>-1.0457326762485009E-2</v>
      </c>
      <c r="N48">
        <f t="shared" si="3"/>
        <v>1.1817818486595466E-2</v>
      </c>
    </row>
    <row r="49" spans="1:14" x14ac:dyDescent="0.3">
      <c r="A49" t="s">
        <v>55</v>
      </c>
      <c r="B49">
        <f t="shared" ref="B49:F61" si="4">B30-B11</f>
        <v>-7.0313137019658578E-3</v>
      </c>
      <c r="C49">
        <f t="shared" si="4"/>
        <v>-9.8545269151059101E-3</v>
      </c>
      <c r="D49">
        <f t="shared" si="4"/>
        <v>-6.7481595649721893E-2</v>
      </c>
      <c r="E49">
        <f t="shared" si="4"/>
        <v>8.8740113282610444E-3</v>
      </c>
      <c r="F49">
        <f t="shared" si="4"/>
        <v>-4.7133569420756416E-3</v>
      </c>
      <c r="I49" t="s">
        <v>55</v>
      </c>
      <c r="J49">
        <f t="shared" ref="J49:N61" si="5">J30-J11</f>
        <v>-1.6721747484400584E-3</v>
      </c>
      <c r="K49">
        <f t="shared" si="5"/>
        <v>-2.5625582491527465E-3</v>
      </c>
      <c r="L49">
        <f t="shared" si="5"/>
        <v>-6.84137663396861E-2</v>
      </c>
      <c r="M49">
        <f t="shared" si="5"/>
        <v>3.2922782647735183E-3</v>
      </c>
      <c r="N49">
        <f t="shared" si="5"/>
        <v>-9.4147513868447774E-4</v>
      </c>
    </row>
    <row r="50" spans="1:14" x14ac:dyDescent="0.3">
      <c r="A50" t="s">
        <v>6</v>
      </c>
      <c r="B50">
        <f t="shared" si="4"/>
        <v>-3.916822624272509E-4</v>
      </c>
      <c r="C50">
        <f t="shared" si="4"/>
        <v>2.5874116436308547E-4</v>
      </c>
      <c r="D50">
        <f t="shared" si="4"/>
        <v>0</v>
      </c>
      <c r="E50">
        <f t="shared" si="4"/>
        <v>-2.5871123309254007E-4</v>
      </c>
      <c r="F50">
        <f t="shared" si="4"/>
        <v>-4.2358174759171696E-4</v>
      </c>
      <c r="I50" t="s">
        <v>6</v>
      </c>
      <c r="J50">
        <f t="shared" si="5"/>
        <v>-7.2750849490832437E-4</v>
      </c>
      <c r="K50">
        <f t="shared" si="5"/>
        <v>-6.2980562501857573E-4</v>
      </c>
      <c r="L50">
        <f t="shared" si="5"/>
        <v>0</v>
      </c>
      <c r="M50">
        <f t="shared" si="5"/>
        <v>-4.8979451090516712E-4</v>
      </c>
      <c r="N50">
        <f t="shared" si="5"/>
        <v>-4.8555854932985643E-4</v>
      </c>
    </row>
    <row r="51" spans="1:14" x14ac:dyDescent="0.3">
      <c r="A51" t="s">
        <v>7</v>
      </c>
      <c r="B51">
        <f t="shared" si="4"/>
        <v>2.5603487910710321E-3</v>
      </c>
      <c r="C51">
        <f t="shared" si="4"/>
        <v>3.4065486805257006E-3</v>
      </c>
      <c r="D51">
        <f t="shared" si="4"/>
        <v>2.3096126653245674E-2</v>
      </c>
      <c r="E51">
        <f t="shared" si="4"/>
        <v>0</v>
      </c>
      <c r="F51">
        <f t="shared" si="4"/>
        <v>-4.378612499525314E-3</v>
      </c>
      <c r="I51" t="s">
        <v>7</v>
      </c>
      <c r="J51">
        <f t="shared" si="5"/>
        <v>-3.465496100375276E-3</v>
      </c>
      <c r="K51">
        <f t="shared" si="5"/>
        <v>9.3533550325972659E-3</v>
      </c>
      <c r="L51">
        <f t="shared" si="5"/>
        <v>1.9852432053196978E-2</v>
      </c>
      <c r="M51">
        <f t="shared" si="5"/>
        <v>0</v>
      </c>
      <c r="N51">
        <f t="shared" si="5"/>
        <v>-4.0896435519559571E-3</v>
      </c>
    </row>
    <row r="52" spans="1:14" x14ac:dyDescent="0.3">
      <c r="A52" t="s">
        <v>8</v>
      </c>
      <c r="B52">
        <f t="shared" si="4"/>
        <v>-4.4585155106113827E-4</v>
      </c>
      <c r="C52">
        <f t="shared" si="4"/>
        <v>4.0947629689525034E-4</v>
      </c>
      <c r="D52">
        <f t="shared" si="4"/>
        <v>-1.8795679052319159E-4</v>
      </c>
      <c r="E52">
        <f t="shared" si="4"/>
        <v>4.9119507726702594E-4</v>
      </c>
      <c r="F52">
        <f t="shared" si="4"/>
        <v>0</v>
      </c>
      <c r="I52" t="s">
        <v>8</v>
      </c>
      <c r="J52">
        <f t="shared" si="5"/>
        <v>3.800457840812399E-4</v>
      </c>
      <c r="K52">
        <f t="shared" si="5"/>
        <v>-6.6967835893372296E-3</v>
      </c>
      <c r="L52">
        <f t="shared" si="5"/>
        <v>8.8915489887730903E-4</v>
      </c>
      <c r="M52">
        <f t="shared" si="5"/>
        <v>4.1025391252955679E-3</v>
      </c>
      <c r="N52">
        <f t="shared" si="5"/>
        <v>0</v>
      </c>
    </row>
    <row r="53" spans="1:14" x14ac:dyDescent="0.3">
      <c r="A53" t="s">
        <v>56</v>
      </c>
      <c r="B53">
        <f t="shared" si="4"/>
        <v>-4.620332061638921E-5</v>
      </c>
      <c r="C53">
        <f t="shared" si="4"/>
        <v>4.1218371580331592E-6</v>
      </c>
      <c r="D53">
        <f t="shared" si="4"/>
        <v>5.6527817028084737E-6</v>
      </c>
      <c r="E53">
        <f t="shared" si="4"/>
        <v>1.922712065074994E-5</v>
      </c>
      <c r="F53">
        <f t="shared" si="4"/>
        <v>8.7413804341629486E-6</v>
      </c>
      <c r="I53" t="s">
        <v>56</v>
      </c>
      <c r="J53">
        <f t="shared" si="5"/>
        <v>-6.4447218516228144E-5</v>
      </c>
      <c r="K53">
        <f t="shared" si="5"/>
        <v>9.2883986004266283E-6</v>
      </c>
      <c r="L53">
        <f t="shared" si="5"/>
        <v>6.8436777256875025E-6</v>
      </c>
      <c r="M53">
        <f t="shared" si="5"/>
        <v>2.6276248043438644E-5</v>
      </c>
      <c r="N53">
        <f t="shared" si="5"/>
        <v>1.4942447111476742E-5</v>
      </c>
    </row>
    <row r="54" spans="1:14" x14ac:dyDescent="0.3">
      <c r="A54" t="s">
        <v>9</v>
      </c>
      <c r="B54">
        <f t="shared" si="4"/>
        <v>-6.481320221583986E-3</v>
      </c>
      <c r="C54">
        <f t="shared" si="4"/>
        <v>-2.4808551465116069E-2</v>
      </c>
      <c r="D54">
        <f t="shared" si="4"/>
        <v>-2.8243791876904067E-3</v>
      </c>
      <c r="E54">
        <f t="shared" si="4"/>
        <v>-1.2715639319658134E-3</v>
      </c>
      <c r="F54">
        <f t="shared" si="4"/>
        <v>-6.4295024549613222E-3</v>
      </c>
      <c r="I54" t="s">
        <v>9</v>
      </c>
      <c r="J54">
        <f t="shared" si="5"/>
        <v>-3.6523746592077577E-3</v>
      </c>
      <c r="K54">
        <f t="shared" si="5"/>
        <v>-3.0091914795500607E-2</v>
      </c>
      <c r="L54">
        <f t="shared" si="5"/>
        <v>1.8625488011240199E-3</v>
      </c>
      <c r="M54">
        <f t="shared" si="5"/>
        <v>2.1975203928697451E-3</v>
      </c>
      <c r="N54">
        <f t="shared" si="5"/>
        <v>-5.5884126011557789E-3</v>
      </c>
    </row>
    <row r="55" spans="1:14" x14ac:dyDescent="0.3">
      <c r="A55" t="s">
        <v>57</v>
      </c>
      <c r="B55">
        <f t="shared" si="4"/>
        <v>1.3531902249205863E-4</v>
      </c>
      <c r="C55">
        <f t="shared" si="4"/>
        <v>-6.7271828988935134E-4</v>
      </c>
      <c r="D55">
        <f t="shared" si="4"/>
        <v>5.0569179046289214E-4</v>
      </c>
      <c r="E55">
        <f t="shared" si="4"/>
        <v>1.1434356933887058E-4</v>
      </c>
      <c r="F55">
        <f t="shared" si="4"/>
        <v>2.3400659251016087E-4</v>
      </c>
      <c r="I55" t="s">
        <v>57</v>
      </c>
      <c r="J55">
        <f t="shared" si="5"/>
        <v>1.8336336186514091E-4</v>
      </c>
      <c r="K55">
        <f t="shared" si="5"/>
        <v>-7.1382092893967908E-4</v>
      </c>
      <c r="L55">
        <f t="shared" si="5"/>
        <v>-1.1788609505201109E-3</v>
      </c>
      <c r="M55">
        <f t="shared" si="5"/>
        <v>2.1870742041069091E-4</v>
      </c>
      <c r="N55">
        <f t="shared" si="5"/>
        <v>2.3284727431249763E-4</v>
      </c>
    </row>
    <row r="56" spans="1:14" x14ac:dyDescent="0.3">
      <c r="A56" t="s">
        <v>10</v>
      </c>
      <c r="B56">
        <f t="shared" si="4"/>
        <v>5.1686618244151106E-4</v>
      </c>
      <c r="C56">
        <f t="shared" si="4"/>
        <v>-9.4525286012114851E-5</v>
      </c>
      <c r="D56">
        <f t="shared" si="4"/>
        <v>-1.1670214713517257E-3</v>
      </c>
      <c r="E56">
        <f t="shared" si="4"/>
        <v>1.0583462817529976E-3</v>
      </c>
      <c r="F56">
        <f t="shared" si="4"/>
        <v>1.1875422863161234E-4</v>
      </c>
      <c r="I56" t="s">
        <v>10</v>
      </c>
      <c r="J56">
        <f t="shared" si="5"/>
        <v>-1.9822653840507742E-3</v>
      </c>
      <c r="K56">
        <f t="shared" si="5"/>
        <v>-5.3600299334011225E-4</v>
      </c>
      <c r="L56">
        <f t="shared" si="5"/>
        <v>2.9825053214752151E-2</v>
      </c>
      <c r="M56">
        <f t="shared" si="5"/>
        <v>-2.2724703084516573E-2</v>
      </c>
      <c r="N56">
        <f t="shared" si="5"/>
        <v>7.8500709350223907E-2</v>
      </c>
    </row>
    <row r="57" spans="1:14" x14ac:dyDescent="0.3">
      <c r="A57" t="s">
        <v>58</v>
      </c>
      <c r="B57">
        <f t="shared" si="4"/>
        <v>8.8607515718568175E-2</v>
      </c>
      <c r="C57">
        <f t="shared" si="4"/>
        <v>1.396892726982002E-2</v>
      </c>
      <c r="D57">
        <f t="shared" si="4"/>
        <v>-7.3807626174691665E-2</v>
      </c>
      <c r="E57">
        <f t="shared" si="4"/>
        <v>-3.5825903848087648E-2</v>
      </c>
      <c r="F57">
        <f t="shared" si="4"/>
        <v>-7.7837047813029414E-2</v>
      </c>
      <c r="I57" t="s">
        <v>58</v>
      </c>
      <c r="J57">
        <f t="shared" si="5"/>
        <v>0.11967856057505699</v>
      </c>
      <c r="K57">
        <f t="shared" si="5"/>
        <v>9.4380125542065096E-3</v>
      </c>
      <c r="L57">
        <f t="shared" si="5"/>
        <v>-9.127615984654075E-2</v>
      </c>
      <c r="M57">
        <f t="shared" si="5"/>
        <v>-3.6369987858001801E-2</v>
      </c>
      <c r="N57">
        <f t="shared" si="5"/>
        <v>-9.0511248223211438E-2</v>
      </c>
    </row>
    <row r="58" spans="1:14" x14ac:dyDescent="0.3">
      <c r="A58" t="s">
        <v>11</v>
      </c>
      <c r="B58">
        <f t="shared" si="4"/>
        <v>-1.1033793205402764E-3</v>
      </c>
      <c r="C58">
        <f t="shared" si="4"/>
        <v>-4.5710832015585678E-2</v>
      </c>
      <c r="D58">
        <f t="shared" si="4"/>
        <v>-1.0470620009118137E-3</v>
      </c>
      <c r="E58">
        <f t="shared" si="4"/>
        <v>-1.6291293120026418E-2</v>
      </c>
      <c r="F58">
        <f t="shared" si="4"/>
        <v>-4.6823947436845925E-3</v>
      </c>
      <c r="I58" t="s">
        <v>11</v>
      </c>
      <c r="J58">
        <f t="shared" si="5"/>
        <v>-2.7339998118697251E-4</v>
      </c>
      <c r="K58">
        <f t="shared" si="5"/>
        <v>-6.1158457950664991E-2</v>
      </c>
      <c r="L58">
        <f t="shared" si="5"/>
        <v>-5.6175293751548061E-4</v>
      </c>
      <c r="M58">
        <f t="shared" si="5"/>
        <v>-2.1934706902734857E-2</v>
      </c>
      <c r="N58">
        <f t="shared" si="5"/>
        <v>3.5388616873237577E-3</v>
      </c>
    </row>
    <row r="59" spans="1:14" x14ac:dyDescent="0.3">
      <c r="A59" t="s">
        <v>59</v>
      </c>
      <c r="B59">
        <f t="shared" si="4"/>
        <v>6.7809463524154401E-4</v>
      </c>
      <c r="C59">
        <f t="shared" si="4"/>
        <v>-3.487528473781365E-3</v>
      </c>
      <c r="D59">
        <f t="shared" si="4"/>
        <v>-2.3162344722132633E-2</v>
      </c>
      <c r="E59">
        <f t="shared" si="4"/>
        <v>-3.8202199224657896E-2</v>
      </c>
      <c r="F59">
        <f t="shared" si="4"/>
        <v>1.8319362042034659E-3</v>
      </c>
      <c r="I59" t="s">
        <v>59</v>
      </c>
      <c r="J59">
        <f t="shared" si="5"/>
        <v>-2.4696781771968324E-2</v>
      </c>
      <c r="K59">
        <f t="shared" si="5"/>
        <v>-2.9814635243882504E-2</v>
      </c>
      <c r="L59">
        <f t="shared" si="5"/>
        <v>-2.6786947560251628E-2</v>
      </c>
      <c r="M59">
        <f t="shared" si="5"/>
        <v>-2.3071257416963642E-2</v>
      </c>
      <c r="N59">
        <f t="shared" si="5"/>
        <v>-1.2353796518765725E-2</v>
      </c>
    </row>
    <row r="60" spans="1:14" x14ac:dyDescent="0.3">
      <c r="A60" t="s">
        <v>12</v>
      </c>
      <c r="B60">
        <f t="shared" si="4"/>
        <v>5.8935558935288013E-3</v>
      </c>
      <c r="C60">
        <f t="shared" si="4"/>
        <v>-1.0200860197882911E-2</v>
      </c>
      <c r="D60">
        <f t="shared" si="4"/>
        <v>-4.5345373020418966E-3</v>
      </c>
      <c r="E60">
        <f t="shared" si="4"/>
        <v>5.9271272095846594E-3</v>
      </c>
      <c r="F60">
        <f t="shared" si="4"/>
        <v>-2.8480488036700113E-3</v>
      </c>
      <c r="I60" t="s">
        <v>12</v>
      </c>
      <c r="J60">
        <f t="shared" si="5"/>
        <v>-3.3535184904798232E-4</v>
      </c>
      <c r="K60">
        <f t="shared" si="5"/>
        <v>-6.2040715871326535E-3</v>
      </c>
      <c r="L60">
        <f t="shared" si="5"/>
        <v>3.3544928359897641E-3</v>
      </c>
      <c r="M60">
        <f t="shared" si="5"/>
        <v>-3.432553971453367E-3</v>
      </c>
      <c r="N60">
        <f t="shared" si="5"/>
        <v>-1.6116745216820938E-4</v>
      </c>
    </row>
    <row r="61" spans="1:14" x14ac:dyDescent="0.3">
      <c r="A61" t="s">
        <v>13</v>
      </c>
      <c r="B61">
        <f t="shared" si="4"/>
        <v>1.3730058314840254E-2</v>
      </c>
      <c r="C61">
        <f t="shared" si="4"/>
        <v>1.9343486249812303E-2</v>
      </c>
      <c r="D61">
        <f t="shared" si="4"/>
        <v>-4.9805953725349683E-2</v>
      </c>
      <c r="E61">
        <f t="shared" si="4"/>
        <v>4.5125217614673252E-2</v>
      </c>
      <c r="F61">
        <f t="shared" si="4"/>
        <v>-2.839448064723582E-3</v>
      </c>
      <c r="I61" t="s">
        <v>13</v>
      </c>
      <c r="J61">
        <f t="shared" si="5"/>
        <v>1.0835577127492335E-2</v>
      </c>
      <c r="K61">
        <f t="shared" si="5"/>
        <v>1.1863797509880758E-2</v>
      </c>
      <c r="L61">
        <f t="shared" si="5"/>
        <v>-3.7049078410063441E-2</v>
      </c>
      <c r="M61">
        <f t="shared" si="5"/>
        <v>4.5174267962623471E-2</v>
      </c>
      <c r="N61">
        <f t="shared" si="5"/>
        <v>-5.2478887486995252E-3</v>
      </c>
    </row>
    <row r="62" spans="1:14" x14ac:dyDescent="0.3">
      <c r="A62" s="1"/>
      <c r="I62" s="1"/>
    </row>
    <row r="63" spans="1:14" x14ac:dyDescent="0.3">
      <c r="A63" s="1"/>
      <c r="I63" s="1"/>
    </row>
    <row r="65" spans="1:17" x14ac:dyDescent="0.3">
      <c r="A65" s="17" t="s">
        <v>21</v>
      </c>
      <c r="B65" s="17"/>
      <c r="C65" s="17"/>
      <c r="D65" s="17"/>
      <c r="E65" s="17"/>
      <c r="F65" s="17"/>
      <c r="G65" s="17"/>
      <c r="I65" s="17" t="s">
        <v>21</v>
      </c>
      <c r="J65" s="17"/>
      <c r="K65" s="17"/>
      <c r="L65" s="17"/>
      <c r="M65" s="17"/>
      <c r="N65" s="17"/>
      <c r="O65" s="17"/>
    </row>
    <row r="66" spans="1:17" x14ac:dyDescent="0.3">
      <c r="A66" s="1" t="s">
        <v>33</v>
      </c>
      <c r="B66" t="s">
        <v>54</v>
      </c>
      <c r="C66" t="s">
        <v>34</v>
      </c>
      <c r="D66" t="s">
        <v>37</v>
      </c>
      <c r="E66" t="s">
        <v>38</v>
      </c>
      <c r="F66" t="s">
        <v>35</v>
      </c>
      <c r="G66" t="s">
        <v>36</v>
      </c>
      <c r="I66" s="1" t="s">
        <v>33</v>
      </c>
      <c r="J66" t="s">
        <v>54</v>
      </c>
      <c r="K66" t="s">
        <v>34</v>
      </c>
      <c r="L66" t="s">
        <v>37</v>
      </c>
      <c r="M66" t="s">
        <v>38</v>
      </c>
      <c r="N66" t="s">
        <v>35</v>
      </c>
      <c r="O66" t="s">
        <v>36</v>
      </c>
    </row>
    <row r="67" spans="1:17" x14ac:dyDescent="0.3">
      <c r="A67">
        <f>AVERAGE(B48:G63)</f>
        <v>-3.9210316139621209E-3</v>
      </c>
      <c r="B67">
        <f>STDEV(B48:G63)</f>
        <v>2.2836051728843641E-2</v>
      </c>
      <c r="C67">
        <f>MEDIAN(B48:G63)</f>
        <v>-7.036430331425203E-5</v>
      </c>
      <c r="D67">
        <f>MIN(B48:G63)</f>
        <v>-7.7837047813029414E-2</v>
      </c>
      <c r="E67">
        <f>MAX(B48:G63)</f>
        <v>8.8607515718568175E-2</v>
      </c>
      <c r="F67">
        <f>G48</f>
        <v>0</v>
      </c>
      <c r="G67" cm="1">
        <f t="array" ref="G67">MAX(ABS(B48:G63))</f>
        <v>8.8607515718568175E-2</v>
      </c>
      <c r="I67">
        <f>AVERAGE(J48:O63)</f>
        <v>-3.8562868717897168E-3</v>
      </c>
      <c r="J67">
        <f>STDEV(J48:O63)</f>
        <v>2.8591362364093639E-2</v>
      </c>
      <c r="K67">
        <f>MEDIAN(J48:O63)</f>
        <v>-4.8767653011751178E-4</v>
      </c>
      <c r="L67">
        <f>MIN(J48:O63)</f>
        <v>-9.127615984654075E-2</v>
      </c>
      <c r="M67">
        <f>MAX(J48:O63)</f>
        <v>0.11967856057505699</v>
      </c>
      <c r="N67">
        <f>O49</f>
        <v>0</v>
      </c>
      <c r="O67" cm="1">
        <f t="array" ref="O67">MAX(ABS(J48:O63))</f>
        <v>0.11967856057505699</v>
      </c>
    </row>
    <row r="69" spans="1:17" x14ac:dyDescent="0.3">
      <c r="A69" s="17" t="s">
        <v>60</v>
      </c>
      <c r="B69" s="17"/>
      <c r="C69" s="17"/>
      <c r="D69" s="17"/>
      <c r="E69" s="17"/>
      <c r="F69" s="17"/>
      <c r="G69" s="17"/>
      <c r="H69" s="5"/>
      <c r="I69" s="17" t="s">
        <v>61</v>
      </c>
      <c r="J69" s="17"/>
      <c r="K69" s="17"/>
      <c r="L69" s="17"/>
      <c r="M69" s="17"/>
      <c r="N69" s="17"/>
      <c r="O69" s="17"/>
      <c r="P69" s="5"/>
      <c r="Q69" s="5"/>
    </row>
    <row r="70" spans="1:17" x14ac:dyDescent="0.3">
      <c r="A70" t="s">
        <v>44</v>
      </c>
      <c r="B70" t="s">
        <v>45</v>
      </c>
      <c r="C70" t="s">
        <v>46</v>
      </c>
      <c r="D70" t="s">
        <v>47</v>
      </c>
      <c r="E70" t="s">
        <v>48</v>
      </c>
      <c r="F70" t="s">
        <v>49</v>
      </c>
      <c r="G70" s="1"/>
      <c r="I70" t="s">
        <v>44</v>
      </c>
      <c r="J70" t="s">
        <v>45</v>
      </c>
      <c r="K70" t="s">
        <v>46</v>
      </c>
      <c r="L70" t="s">
        <v>47</v>
      </c>
      <c r="M70" t="s">
        <v>48</v>
      </c>
      <c r="N70" t="s">
        <v>49</v>
      </c>
      <c r="O70" s="1"/>
    </row>
    <row r="71" spans="1:17" x14ac:dyDescent="0.3">
      <c r="A71" t="s">
        <v>5</v>
      </c>
      <c r="B71">
        <f>J29-B29</f>
        <v>-2.5815537941998867E-2</v>
      </c>
      <c r="C71">
        <f t="shared" ref="C71:F71" si="6">K29-C29</f>
        <v>0</v>
      </c>
      <c r="D71">
        <f t="shared" si="6"/>
        <v>4.9046647661057374E-3</v>
      </c>
      <c r="E71">
        <f t="shared" si="6"/>
        <v>-5.14078881297515E-2</v>
      </c>
      <c r="F71">
        <f t="shared" si="6"/>
        <v>4.2234624763596296E-3</v>
      </c>
      <c r="I71" t="s">
        <v>5</v>
      </c>
      <c r="J71">
        <f>J10-B10</f>
        <v>-2.1431869153125116E-2</v>
      </c>
      <c r="K71">
        <f t="shared" ref="K71:N71" si="7">K10-C10</f>
        <v>0</v>
      </c>
      <c r="L71">
        <f t="shared" si="7"/>
        <v>-1.2115655610367426E-4</v>
      </c>
      <c r="M71">
        <f t="shared" si="7"/>
        <v>-3.5581902430560142E-2</v>
      </c>
      <c r="N71">
        <f t="shared" si="7"/>
        <v>4.8183581966735334E-3</v>
      </c>
    </row>
    <row r="72" spans="1:17" x14ac:dyDescent="0.3">
      <c r="A72" t="s">
        <v>55</v>
      </c>
      <c r="B72">
        <f t="shared" ref="B72:B84" si="8">J30-B30</f>
        <v>-7.5666018511489519E-2</v>
      </c>
      <c r="C72">
        <f t="shared" ref="C72:F84" si="9">K30-C30</f>
        <v>-0.11058270589106556</v>
      </c>
      <c r="D72">
        <f t="shared" si="9"/>
        <v>2.7169836467470621E-2</v>
      </c>
      <c r="E72">
        <f t="shared" si="9"/>
        <v>0.11998496099942679</v>
      </c>
      <c r="F72">
        <f t="shared" si="9"/>
        <v>-4.7006897140934034E-2</v>
      </c>
      <c r="I72" t="s">
        <v>55</v>
      </c>
      <c r="J72">
        <f t="shared" ref="J72:J84" si="10">J11-B11</f>
        <v>-8.1025157465015318E-2</v>
      </c>
      <c r="K72">
        <f t="shared" ref="K72:K84" si="11">K11-C11</f>
        <v>-0.11787467455701872</v>
      </c>
      <c r="L72">
        <f t="shared" ref="L72:L84" si="12">L11-D11</f>
        <v>2.8102007157434827E-2</v>
      </c>
      <c r="M72">
        <f t="shared" ref="M72:M84" si="13">M11-E11</f>
        <v>0.12556669406291432</v>
      </c>
      <c r="N72">
        <f t="shared" ref="N72:N84" si="14">N11-F11</f>
        <v>-5.0778778944325198E-2</v>
      </c>
    </row>
    <row r="73" spans="1:17" x14ac:dyDescent="0.3">
      <c r="A73" t="s">
        <v>6</v>
      </c>
      <c r="B73">
        <f t="shared" si="8"/>
        <v>-2.6364485030031415E-2</v>
      </c>
      <c r="C73">
        <f t="shared" si="9"/>
        <v>1.9933993789793159E-2</v>
      </c>
      <c r="D73">
        <f t="shared" si="9"/>
        <v>0</v>
      </c>
      <c r="E73">
        <f t="shared" si="9"/>
        <v>-1.314509706110914E-2</v>
      </c>
      <c r="F73">
        <f t="shared" si="9"/>
        <v>-1.0661548774338392E-2</v>
      </c>
      <c r="I73" t="s">
        <v>6</v>
      </c>
      <c r="J73">
        <f t="shared" si="10"/>
        <v>-2.6028658797550341E-2</v>
      </c>
      <c r="K73">
        <f t="shared" si="11"/>
        <v>2.082254057917482E-2</v>
      </c>
      <c r="L73">
        <f t="shared" si="12"/>
        <v>0</v>
      </c>
      <c r="M73">
        <f t="shared" si="13"/>
        <v>-1.2914013783296513E-2</v>
      </c>
      <c r="N73">
        <f t="shared" si="14"/>
        <v>-1.0599571972600252E-2</v>
      </c>
    </row>
    <row r="74" spans="1:17" x14ac:dyDescent="0.3">
      <c r="A74" t="s">
        <v>7</v>
      </c>
      <c r="B74">
        <f t="shared" si="8"/>
        <v>2.2102569498192892E-2</v>
      </c>
      <c r="C74">
        <f t="shared" si="9"/>
        <v>2.2217451274462396E-2</v>
      </c>
      <c r="D74">
        <f t="shared" si="9"/>
        <v>-0.13226072812152068</v>
      </c>
      <c r="E74">
        <f t="shared" si="9"/>
        <v>0</v>
      </c>
      <c r="F74">
        <f t="shared" si="9"/>
        <v>5.1362586640069097E-4</v>
      </c>
      <c r="I74" t="s">
        <v>7</v>
      </c>
      <c r="J74">
        <f t="shared" si="10"/>
        <v>2.81284143896392E-2</v>
      </c>
      <c r="K74">
        <f t="shared" si="11"/>
        <v>1.6270644922390831E-2</v>
      </c>
      <c r="L74">
        <f t="shared" si="12"/>
        <v>-0.12901703352147198</v>
      </c>
      <c r="M74">
        <f t="shared" si="13"/>
        <v>0</v>
      </c>
      <c r="N74">
        <f t="shared" si="14"/>
        <v>2.246569188313341E-4</v>
      </c>
    </row>
    <row r="75" spans="1:17" x14ac:dyDescent="0.3">
      <c r="A75" t="s">
        <v>8</v>
      </c>
      <c r="B75">
        <f t="shared" si="8"/>
        <v>6.3969983145911735E-3</v>
      </c>
      <c r="C75">
        <f t="shared" si="9"/>
        <v>-7.2674694076958479E-3</v>
      </c>
      <c r="D75">
        <f t="shared" si="9"/>
        <v>4.118316925875054E-3</v>
      </c>
      <c r="E75">
        <f t="shared" si="9"/>
        <v>-5.9544697018947268E-3</v>
      </c>
      <c r="F75">
        <f t="shared" si="9"/>
        <v>0</v>
      </c>
      <c r="I75" t="s">
        <v>8</v>
      </c>
      <c r="J75">
        <f t="shared" si="10"/>
        <v>5.5711009794487953E-3</v>
      </c>
      <c r="K75">
        <f t="shared" si="11"/>
        <v>-1.6120952146336798E-4</v>
      </c>
      <c r="L75">
        <f t="shared" si="12"/>
        <v>3.0412052364745534E-3</v>
      </c>
      <c r="M75">
        <f t="shared" si="13"/>
        <v>-9.5658137499232687E-3</v>
      </c>
      <c r="N75">
        <f t="shared" si="14"/>
        <v>0</v>
      </c>
    </row>
    <row r="76" spans="1:17" x14ac:dyDescent="0.3">
      <c r="A76" t="s">
        <v>56</v>
      </c>
      <c r="B76">
        <f t="shared" si="8"/>
        <v>-3.1547169034203404E-3</v>
      </c>
      <c r="C76">
        <f t="shared" si="9"/>
        <v>4.3478134975155625E-4</v>
      </c>
      <c r="D76">
        <f t="shared" si="9"/>
        <v>5.2929472300122793E-4</v>
      </c>
      <c r="E76">
        <f t="shared" si="9"/>
        <v>1.4501626825207115E-3</v>
      </c>
      <c r="F76">
        <f t="shared" si="9"/>
        <v>1.4574076269935343E-4</v>
      </c>
      <c r="I76" t="s">
        <v>56</v>
      </c>
      <c r="J76">
        <f t="shared" si="10"/>
        <v>-3.1364730055205015E-3</v>
      </c>
      <c r="K76">
        <f t="shared" si="11"/>
        <v>4.2961478830916278E-4</v>
      </c>
      <c r="L76">
        <f t="shared" si="12"/>
        <v>5.281038269783489E-4</v>
      </c>
      <c r="M76">
        <f t="shared" si="13"/>
        <v>1.4431135551280228E-3</v>
      </c>
      <c r="N76">
        <f t="shared" si="14"/>
        <v>1.3953969602203964E-4</v>
      </c>
    </row>
    <row r="77" spans="1:17" x14ac:dyDescent="0.3">
      <c r="A77" t="s">
        <v>9</v>
      </c>
      <c r="B77">
        <f t="shared" si="8"/>
        <v>-4.7590836672339876E-4</v>
      </c>
      <c r="C77">
        <f t="shared" si="9"/>
        <v>1.4144030878382896E-2</v>
      </c>
      <c r="D77">
        <f t="shared" si="9"/>
        <v>-1.2051715951188813E-2</v>
      </c>
      <c r="E77">
        <f t="shared" si="9"/>
        <v>-9.9340474272308354E-3</v>
      </c>
      <c r="F77">
        <f t="shared" si="9"/>
        <v>-4.3175768313939988E-3</v>
      </c>
      <c r="I77" t="s">
        <v>9</v>
      </c>
      <c r="J77">
        <f t="shared" si="10"/>
        <v>-3.3048539290996271E-3</v>
      </c>
      <c r="K77">
        <f t="shared" si="11"/>
        <v>1.9427394208767435E-2</v>
      </c>
      <c r="L77">
        <f t="shared" si="12"/>
        <v>-1.6738643940003239E-2</v>
      </c>
      <c r="M77">
        <f t="shared" si="13"/>
        <v>-1.3403131752066394E-2</v>
      </c>
      <c r="N77">
        <f t="shared" si="14"/>
        <v>-5.1586666851995422E-3</v>
      </c>
    </row>
    <row r="78" spans="1:17" x14ac:dyDescent="0.3">
      <c r="A78" t="s">
        <v>57</v>
      </c>
      <c r="B78">
        <f t="shared" si="8"/>
        <v>9.9202775314745362E-3</v>
      </c>
      <c r="C78">
        <f t="shared" si="9"/>
        <v>1.5079006410554818E-2</v>
      </c>
      <c r="D78">
        <f t="shared" si="9"/>
        <v>-6.9381743692554121E-2</v>
      </c>
      <c r="E78">
        <f t="shared" si="9"/>
        <v>1.9879068000552419E-2</v>
      </c>
      <c r="F78">
        <f t="shared" si="9"/>
        <v>-7.7235282879035694E-3</v>
      </c>
      <c r="I78" t="s">
        <v>57</v>
      </c>
      <c r="J78">
        <f t="shared" si="10"/>
        <v>9.8722331921014539E-3</v>
      </c>
      <c r="K78">
        <f t="shared" si="11"/>
        <v>1.5120109049605146E-2</v>
      </c>
      <c r="L78">
        <f t="shared" si="12"/>
        <v>-6.7697190951571118E-2</v>
      </c>
      <c r="M78">
        <f t="shared" si="13"/>
        <v>1.9774704149480599E-2</v>
      </c>
      <c r="N78">
        <f t="shared" si="14"/>
        <v>-7.7223689697059061E-3</v>
      </c>
    </row>
    <row r="79" spans="1:17" x14ac:dyDescent="0.3">
      <c r="A79" t="s">
        <v>10</v>
      </c>
      <c r="B79">
        <f t="shared" si="8"/>
        <v>-1.8070449141874834E-3</v>
      </c>
      <c r="C79">
        <f t="shared" si="9"/>
        <v>4.6602994834087919E-3</v>
      </c>
      <c r="D79">
        <f t="shared" si="9"/>
        <v>2.184052647804946E-2</v>
      </c>
      <c r="E79">
        <f t="shared" si="9"/>
        <v>-1.5660502516721575E-2</v>
      </c>
      <c r="F79">
        <f t="shared" si="9"/>
        <v>6.7685338510095949E-2</v>
      </c>
      <c r="I79" t="s">
        <v>10</v>
      </c>
      <c r="J79">
        <f t="shared" si="10"/>
        <v>6.9208665230480193E-4</v>
      </c>
      <c r="K79">
        <f t="shared" si="11"/>
        <v>5.1017771907367893E-3</v>
      </c>
      <c r="L79">
        <f t="shared" si="12"/>
        <v>-9.1515482080544164E-3</v>
      </c>
      <c r="M79">
        <f t="shared" si="13"/>
        <v>8.1225468495479958E-3</v>
      </c>
      <c r="N79">
        <f t="shared" si="14"/>
        <v>-1.0696616611496346E-2</v>
      </c>
    </row>
    <row r="80" spans="1:17" x14ac:dyDescent="0.3">
      <c r="A80" t="s">
        <v>58</v>
      </c>
      <c r="B80">
        <f t="shared" si="8"/>
        <v>2.4691078955724199E-2</v>
      </c>
      <c r="C80">
        <f t="shared" si="9"/>
        <v>-5.8589672401380133E-3</v>
      </c>
      <c r="D80">
        <f t="shared" si="9"/>
        <v>-1.3246891718629084E-2</v>
      </c>
      <c r="E80">
        <f t="shared" si="9"/>
        <v>-1.9383127155485624E-3</v>
      </c>
      <c r="F80">
        <f t="shared" si="9"/>
        <v>4.1602776711332223E-2</v>
      </c>
      <c r="I80" t="s">
        <v>58</v>
      </c>
      <c r="J80">
        <f t="shared" si="10"/>
        <v>-6.379965900764617E-3</v>
      </c>
      <c r="K80">
        <f t="shared" si="11"/>
        <v>-1.3280525245245034E-3</v>
      </c>
      <c r="L80">
        <f t="shared" si="12"/>
        <v>4.2216419532200011E-3</v>
      </c>
      <c r="M80">
        <f t="shared" si="13"/>
        <v>-1.3942287056344094E-3</v>
      </c>
      <c r="N80">
        <f t="shared" si="14"/>
        <v>5.4276977121514247E-2</v>
      </c>
    </row>
    <row r="81" spans="1:15" x14ac:dyDescent="0.3">
      <c r="A81" t="s">
        <v>11</v>
      </c>
      <c r="B81">
        <f t="shared" si="8"/>
        <v>-1.8713627571985025E-2</v>
      </c>
      <c r="C81">
        <f t="shared" si="9"/>
        <v>6.2503112111727543E-2</v>
      </c>
      <c r="D81">
        <f t="shared" si="9"/>
        <v>-2.8519885409006185E-2</v>
      </c>
      <c r="E81">
        <f t="shared" si="9"/>
        <v>3.4662722003166585E-2</v>
      </c>
      <c r="F81">
        <f t="shared" si="9"/>
        <v>2.189657406438586E-2</v>
      </c>
      <c r="I81" t="s">
        <v>11</v>
      </c>
      <c r="J81">
        <f t="shared" si="10"/>
        <v>-1.9543606911338329E-2</v>
      </c>
      <c r="K81">
        <f t="shared" si="11"/>
        <v>7.7950738046806856E-2</v>
      </c>
      <c r="L81">
        <f t="shared" si="12"/>
        <v>-2.9005194472402518E-2</v>
      </c>
      <c r="M81">
        <f t="shared" si="13"/>
        <v>4.0306135785875025E-2</v>
      </c>
      <c r="N81">
        <f t="shared" si="14"/>
        <v>1.3675317633377509E-2</v>
      </c>
    </row>
    <row r="82" spans="1:15" x14ac:dyDescent="0.3">
      <c r="A82" t="s">
        <v>59</v>
      </c>
      <c r="B82">
        <f t="shared" si="8"/>
        <v>-2.2575381028395403E-2</v>
      </c>
      <c r="C82">
        <f t="shared" si="9"/>
        <v>-4.6158934639776272E-2</v>
      </c>
      <c r="D82">
        <f t="shared" si="9"/>
        <v>-3.7456330105306579E-3</v>
      </c>
      <c r="E82">
        <f t="shared" si="9"/>
        <v>1.7151541827694516E-2</v>
      </c>
      <c r="F82">
        <f t="shared" si="9"/>
        <v>-2.3084907894159956E-2</v>
      </c>
      <c r="I82" t="s">
        <v>59</v>
      </c>
      <c r="J82">
        <f t="shared" si="10"/>
        <v>2.799495378814465E-3</v>
      </c>
      <c r="K82">
        <f t="shared" si="11"/>
        <v>-1.9831827869675134E-2</v>
      </c>
      <c r="L82">
        <f t="shared" si="12"/>
        <v>-1.2103017241166247E-4</v>
      </c>
      <c r="M82">
        <f t="shared" si="13"/>
        <v>2.0206000200002627E-3</v>
      </c>
      <c r="N82">
        <f t="shared" si="14"/>
        <v>-8.8991751711907652E-3</v>
      </c>
    </row>
    <row r="83" spans="1:15" x14ac:dyDescent="0.3">
      <c r="A83" t="s">
        <v>12</v>
      </c>
      <c r="B83">
        <f t="shared" si="8"/>
        <v>-3.9205523655623908E-2</v>
      </c>
      <c r="C83">
        <f t="shared" si="9"/>
        <v>-5.0371576050388778E-2</v>
      </c>
      <c r="D83">
        <f t="shared" si="9"/>
        <v>-2.8591487925530013E-3</v>
      </c>
      <c r="E83">
        <f t="shared" si="9"/>
        <v>-8.0830218878067794E-2</v>
      </c>
      <c r="F83">
        <f t="shared" si="9"/>
        <v>-2.5509152076104324E-2</v>
      </c>
      <c r="I83" t="s">
        <v>12</v>
      </c>
      <c r="J83">
        <f t="shared" si="10"/>
        <v>-3.2976615913047125E-2</v>
      </c>
      <c r="K83">
        <f t="shared" si="11"/>
        <v>-5.4368364661139035E-2</v>
      </c>
      <c r="L83">
        <f t="shared" si="12"/>
        <v>-1.0748178930584662E-2</v>
      </c>
      <c r="M83">
        <f t="shared" si="13"/>
        <v>-7.1470537697029768E-2</v>
      </c>
      <c r="N83">
        <f t="shared" si="14"/>
        <v>-2.8196033427606126E-2</v>
      </c>
    </row>
    <row r="84" spans="1:15" x14ac:dyDescent="0.3">
      <c r="A84" t="s">
        <v>13</v>
      </c>
      <c r="B84">
        <f t="shared" si="8"/>
        <v>-2.4908092091339151E-3</v>
      </c>
      <c r="C84">
        <f t="shared" si="9"/>
        <v>-1.5443818023717082E-2</v>
      </c>
      <c r="D84">
        <f t="shared" si="9"/>
        <v>2.0431701098904798E-2</v>
      </c>
      <c r="E84">
        <f t="shared" si="9"/>
        <v>-3.2617224328065575E-2</v>
      </c>
      <c r="F84">
        <f t="shared" si="9"/>
        <v>8.72468522256864E-4</v>
      </c>
      <c r="I84" t="s">
        <v>13</v>
      </c>
      <c r="J84">
        <f t="shared" si="10"/>
        <v>4.0367197821400413E-4</v>
      </c>
      <c r="K84">
        <f t="shared" si="11"/>
        <v>-7.9641292837855371E-3</v>
      </c>
      <c r="L84">
        <f t="shared" si="12"/>
        <v>7.6748257836185552E-3</v>
      </c>
      <c r="M84">
        <f t="shared" si="13"/>
        <v>-3.2666274676015794E-2</v>
      </c>
      <c r="N84">
        <f t="shared" si="14"/>
        <v>3.2809092062328071E-3</v>
      </c>
    </row>
    <row r="85" spans="1:15" x14ac:dyDescent="0.3">
      <c r="A85" s="1"/>
      <c r="I85" s="1"/>
    </row>
    <row r="86" spans="1:15" x14ac:dyDescent="0.3">
      <c r="A86" s="1"/>
      <c r="I86" s="1"/>
    </row>
    <row r="88" spans="1:15" x14ac:dyDescent="0.3">
      <c r="A88" s="17" t="s">
        <v>21</v>
      </c>
      <c r="B88" s="17"/>
      <c r="C88" s="17"/>
      <c r="D88" s="17"/>
      <c r="E88" s="17"/>
      <c r="F88" s="17"/>
      <c r="G88" s="17"/>
      <c r="I88" s="17" t="s">
        <v>21</v>
      </c>
      <c r="J88" s="17"/>
      <c r="K88" s="17"/>
      <c r="L88" s="17"/>
      <c r="M88" s="17"/>
      <c r="N88" s="17"/>
      <c r="O88" s="17"/>
    </row>
    <row r="89" spans="1:15" x14ac:dyDescent="0.3">
      <c r="A89" s="1" t="s">
        <v>33</v>
      </c>
      <c r="B89" t="s">
        <v>54</v>
      </c>
      <c r="C89" t="s">
        <v>34</v>
      </c>
      <c r="D89" t="s">
        <v>37</v>
      </c>
      <c r="E89" t="s">
        <v>38</v>
      </c>
      <c r="F89" t="s">
        <v>35</v>
      </c>
      <c r="G89" t="s">
        <v>36</v>
      </c>
      <c r="I89" s="1" t="s">
        <v>33</v>
      </c>
      <c r="J89" t="s">
        <v>54</v>
      </c>
      <c r="K89" t="s">
        <v>34</v>
      </c>
      <c r="L89" t="s">
        <v>37</v>
      </c>
      <c r="M89" t="s">
        <v>38</v>
      </c>
      <c r="N89" t="s">
        <v>35</v>
      </c>
      <c r="O89" t="s">
        <v>36</v>
      </c>
    </row>
    <row r="90" spans="1:15" x14ac:dyDescent="0.3">
      <c r="A90">
        <f>AVERAGE(B71:G86)</f>
        <v>-6.1809037194373549E-3</v>
      </c>
      <c r="B90">
        <f>STDEV(B71:G86)</f>
        <v>3.6743123278431732E-2</v>
      </c>
      <c r="C90">
        <f>MEDIAN(B71:G86)</f>
        <v>-1.8726788148680229E-3</v>
      </c>
      <c r="D90">
        <f>MIN(B71:G86)</f>
        <v>-0.13226072812152068</v>
      </c>
      <c r="E90">
        <f>MAX(B71:G86)</f>
        <v>0.11998496099942679</v>
      </c>
      <c r="F90">
        <f>G71*-1</f>
        <v>0</v>
      </c>
      <c r="G90" cm="1">
        <f t="array" ref="G90">MAX(ABS(B71:G86))</f>
        <v>0.13226072812152068</v>
      </c>
      <c r="I90">
        <f>AVERAGE(J71:O86)</f>
        <v>-6.2456484616097603E-3</v>
      </c>
      <c r="J90">
        <f>STDEV(J71:O86)</f>
        <v>3.5760839008370501E-2</v>
      </c>
      <c r="K90">
        <f>MEDIAN(J71:O86)</f>
        <v>-1.2109336425766837E-4</v>
      </c>
      <c r="L90">
        <f>MIN(J71:O86)</f>
        <v>-0.12901703352147198</v>
      </c>
      <c r="M90">
        <f>MAX(J71:O86)</f>
        <v>0.12556669406291432</v>
      </c>
      <c r="N90">
        <f>O72</f>
        <v>0</v>
      </c>
      <c r="O90" cm="1">
        <f t="array" ref="O90">MAX(ABS(J71:O86))</f>
        <v>0.12901703352147198</v>
      </c>
    </row>
  </sheetData>
  <mergeCells count="12">
    <mergeCell ref="A8:G8"/>
    <mergeCell ref="A27:G27"/>
    <mergeCell ref="I8:O8"/>
    <mergeCell ref="I27:O27"/>
    <mergeCell ref="A88:G88"/>
    <mergeCell ref="I69:O69"/>
    <mergeCell ref="I88:O88"/>
    <mergeCell ref="A46:G46"/>
    <mergeCell ref="I46:O46"/>
    <mergeCell ref="A65:G65"/>
    <mergeCell ref="I65:O65"/>
    <mergeCell ref="A69:G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7" ma:contentTypeDescription="Create a new document." ma:contentTypeScope="" ma:versionID="b8b27a01019c8f1f5f85cfa193824b14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63af16f05df1fbe665c061d280c7c480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Props1.xml><?xml version="1.0" encoding="utf-8"?>
<ds:datastoreItem xmlns:ds="http://schemas.openxmlformats.org/officeDocument/2006/customXml" ds:itemID="{72507013-1949-460D-8B23-A89C54AA7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6A451-E88F-4AAB-A956-7F6F555EE9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FA2A50-E890-4E3A-83BB-3BB40B247E6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7bf50b4b-6300-445a-aea1-306a2291592c"/>
    <ds:schemaRef ds:uri="http://schemas.microsoft.com/office/infopath/2007/PartnerControls"/>
    <ds:schemaRef ds:uri="070f1269-45c1-4463-99ba-5dc4e57c7dff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Optimized Production Rates</vt:lpstr>
      <vt:lpstr>Optimized B Values</vt:lpstr>
      <vt:lpstr>Optimized Weights</vt:lpstr>
      <vt:lpstr>Optimization 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2023-12-06T03:54:59Z</dcterms:created>
  <dcterms:modified xsi:type="dcterms:W3CDTF">2026-04-23T23:59:31Z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