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Fall2023/summary files/"/>
    </mc:Choice>
  </mc:AlternateContent>
  <xr:revisionPtr revIDLastSave="0" documentId="8_{A9C6DB95-2FB6-4813-8F67-A4C2793EE865}" xr6:coauthVersionLast="47" xr6:coauthVersionMax="47" xr10:uidLastSave="{00000000-0000-0000-0000-000000000000}"/>
  <bookViews>
    <workbookView xWindow="11424" yWindow="0" windowWidth="11712" windowHeight="12336" firstSheet="3" activeTab="3" xr2:uid="{2129298C-101F-4385-BEF7-088C750FC47E}"/>
  </bookViews>
  <sheets>
    <sheet name="Optimized Production Rates" sheetId="1" r:id="rId1"/>
    <sheet name="Dif corrected vs original no mi" sheetId="5" r:id="rId2"/>
    <sheet name="Optimized B Values" sheetId="2" r:id="rId3"/>
    <sheet name="Optimized Weights" sheetId="3" r:id="rId4"/>
    <sheet name="Optimization Diagnostic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G54" i="1"/>
  <c r="F55" i="1"/>
  <c r="F71" i="1" s="1"/>
  <c r="G55" i="1"/>
  <c r="G69" i="1" s="1"/>
  <c r="F56" i="1"/>
  <c r="F70" i="1" s="1"/>
  <c r="G56" i="1"/>
  <c r="F57" i="1"/>
  <c r="G57" i="1"/>
  <c r="F58" i="1"/>
  <c r="G58" i="1"/>
  <c r="F59" i="1"/>
  <c r="G59" i="1"/>
  <c r="G70" i="1" s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G53" i="1"/>
  <c r="F53" i="1"/>
  <c r="F36" i="2"/>
  <c r="G36" i="2"/>
  <c r="F37" i="2"/>
  <c r="G37" i="2"/>
  <c r="G53" i="2" s="1"/>
  <c r="F38" i="2"/>
  <c r="F53" i="2" s="1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G35" i="2"/>
  <c r="F35" i="2"/>
  <c r="C196" i="3"/>
  <c r="D196" i="3" s="1"/>
  <c r="C195" i="3"/>
  <c r="C194" i="3"/>
  <c r="I139" i="3"/>
  <c r="I141" i="3"/>
  <c r="I146" i="3"/>
  <c r="I147" i="3"/>
  <c r="I148" i="3"/>
  <c r="I149" i="3"/>
  <c r="I150" i="3"/>
  <c r="I151" i="3"/>
  <c r="I162" i="3"/>
  <c r="I135" i="3"/>
  <c r="G136" i="3"/>
  <c r="I136" i="3" s="1"/>
  <c r="H136" i="3"/>
  <c r="G137" i="3"/>
  <c r="I137" i="3" s="1"/>
  <c r="H137" i="3"/>
  <c r="G138" i="3"/>
  <c r="I138" i="3" s="1"/>
  <c r="H138" i="3"/>
  <c r="G139" i="3"/>
  <c r="H139" i="3"/>
  <c r="G140" i="3"/>
  <c r="I140" i="3" s="1"/>
  <c r="H140" i="3"/>
  <c r="G141" i="3"/>
  <c r="H141" i="3"/>
  <c r="G142" i="3"/>
  <c r="H142" i="3"/>
  <c r="I142" i="3" s="1"/>
  <c r="G143" i="3"/>
  <c r="I143" i="3" s="1"/>
  <c r="H143" i="3"/>
  <c r="G144" i="3"/>
  <c r="I144" i="3" s="1"/>
  <c r="H144" i="3"/>
  <c r="G145" i="3"/>
  <c r="I145" i="3" s="1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I152" i="3" s="1"/>
  <c r="H152" i="3"/>
  <c r="G153" i="3"/>
  <c r="I153" i="3" s="1"/>
  <c r="H153" i="3"/>
  <c r="G154" i="3"/>
  <c r="I154" i="3" s="1"/>
  <c r="H154" i="3"/>
  <c r="G155" i="3"/>
  <c r="H155" i="3"/>
  <c r="I155" i="3" s="1"/>
  <c r="G156" i="3"/>
  <c r="I156" i="3" s="1"/>
  <c r="H156" i="3"/>
  <c r="G157" i="3"/>
  <c r="I157" i="3" s="1"/>
  <c r="H157" i="3"/>
  <c r="G158" i="3"/>
  <c r="I158" i="3" s="1"/>
  <c r="H158" i="3"/>
  <c r="G159" i="3"/>
  <c r="I159" i="3" s="1"/>
  <c r="H159" i="3"/>
  <c r="G160" i="3"/>
  <c r="I160" i="3" s="1"/>
  <c r="H160" i="3"/>
  <c r="G161" i="3"/>
  <c r="I161" i="3" s="1"/>
  <c r="H161" i="3"/>
  <c r="G162" i="3"/>
  <c r="H162" i="3"/>
  <c r="H135" i="3"/>
  <c r="G135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F51" i="2"/>
  <c r="G71" i="1" l="1"/>
  <c r="F69" i="1"/>
  <c r="F52" i="2"/>
  <c r="G51" i="2"/>
  <c r="G52" i="2"/>
  <c r="D38" i="5" a="1"/>
  <c r="D38" i="5"/>
  <c r="C38" i="5" a="1"/>
  <c r="C38" i="5" s="1"/>
  <c r="B38" i="5" a="1"/>
  <c r="B38" i="5" s="1"/>
  <c r="B18" i="5"/>
  <c r="C18" i="5"/>
  <c r="D18" i="5"/>
  <c r="F24" i="5"/>
  <c r="F38" i="5"/>
  <c r="E38" i="5"/>
  <c r="E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F23" i="5"/>
  <c r="E2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3" i="5"/>
  <c r="F18" i="5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3" i="5"/>
  <c r="B48" i="4"/>
  <c r="G62" i="4"/>
  <c r="O85" i="4"/>
  <c r="J72" i="4"/>
  <c r="K72" i="4"/>
  <c r="L72" i="4"/>
  <c r="M72" i="4"/>
  <c r="N72" i="4"/>
  <c r="O72" i="4"/>
  <c r="J73" i="4"/>
  <c r="K73" i="4"/>
  <c r="L73" i="4"/>
  <c r="M73" i="4"/>
  <c r="N73" i="4"/>
  <c r="O73" i="4"/>
  <c r="N90" i="4" s="1" a="1"/>
  <c r="N90" i="4" s="1"/>
  <c r="J74" i="4"/>
  <c r="K74" i="4"/>
  <c r="L74" i="4"/>
  <c r="M74" i="4"/>
  <c r="N74" i="4"/>
  <c r="O74" i="4"/>
  <c r="J75" i="4"/>
  <c r="K75" i="4"/>
  <c r="L75" i="4"/>
  <c r="M75" i="4"/>
  <c r="N75" i="4"/>
  <c r="O75" i="4"/>
  <c r="J76" i="4"/>
  <c r="K76" i="4"/>
  <c r="L76" i="4"/>
  <c r="M76" i="4"/>
  <c r="N76" i="4"/>
  <c r="O76" i="4"/>
  <c r="J77" i="4"/>
  <c r="K77" i="4"/>
  <c r="L77" i="4"/>
  <c r="M77" i="4"/>
  <c r="N77" i="4"/>
  <c r="O77" i="4"/>
  <c r="J78" i="4"/>
  <c r="K78" i="4"/>
  <c r="L78" i="4"/>
  <c r="M78" i="4"/>
  <c r="N78" i="4"/>
  <c r="O78" i="4"/>
  <c r="J79" i="4"/>
  <c r="K79" i="4"/>
  <c r="L79" i="4"/>
  <c r="M79" i="4"/>
  <c r="N79" i="4"/>
  <c r="O79" i="4"/>
  <c r="J80" i="4"/>
  <c r="K80" i="4"/>
  <c r="L80" i="4"/>
  <c r="M80" i="4"/>
  <c r="N80" i="4"/>
  <c r="O80" i="4"/>
  <c r="J81" i="4"/>
  <c r="K81" i="4"/>
  <c r="L81" i="4"/>
  <c r="M81" i="4"/>
  <c r="N81" i="4"/>
  <c r="O81" i="4"/>
  <c r="J82" i="4"/>
  <c r="K82" i="4"/>
  <c r="L82" i="4"/>
  <c r="M82" i="4"/>
  <c r="N82" i="4"/>
  <c r="O82" i="4"/>
  <c r="J83" i="4"/>
  <c r="K83" i="4"/>
  <c r="L83" i="4"/>
  <c r="M83" i="4"/>
  <c r="N83" i="4"/>
  <c r="O83" i="4"/>
  <c r="J84" i="4"/>
  <c r="K84" i="4"/>
  <c r="L84" i="4"/>
  <c r="M84" i="4"/>
  <c r="N84" i="4"/>
  <c r="O84" i="4"/>
  <c r="J85" i="4"/>
  <c r="K85" i="4"/>
  <c r="L85" i="4"/>
  <c r="M85" i="4"/>
  <c r="N85" i="4"/>
  <c r="K71" i="4"/>
  <c r="L71" i="4"/>
  <c r="M71" i="4"/>
  <c r="N71" i="4"/>
  <c r="O71" i="4"/>
  <c r="J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C71" i="4"/>
  <c r="D71" i="4"/>
  <c r="E71" i="4"/>
  <c r="F71" i="4"/>
  <c r="G71" i="4"/>
  <c r="B71" i="4"/>
  <c r="G4" i="2"/>
  <c r="H4" i="2"/>
  <c r="I4" i="2"/>
  <c r="J4" i="2"/>
  <c r="G5" i="2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G14" i="2"/>
  <c r="H14" i="2"/>
  <c r="I14" i="2"/>
  <c r="J14" i="2"/>
  <c r="G15" i="2"/>
  <c r="H15" i="2"/>
  <c r="I15" i="2"/>
  <c r="J15" i="2"/>
  <c r="G16" i="2"/>
  <c r="H16" i="2"/>
  <c r="I16" i="2"/>
  <c r="J16" i="2"/>
  <c r="G17" i="2"/>
  <c r="H17" i="2"/>
  <c r="I17" i="2"/>
  <c r="J17" i="2"/>
  <c r="J3" i="2"/>
  <c r="I3" i="2"/>
  <c r="H3" i="2"/>
  <c r="G3" i="2"/>
  <c r="G1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3" i="1"/>
  <c r="N67" i="4" a="1"/>
  <c r="N67" i="4" s="1"/>
  <c r="F67" i="4" a="1"/>
  <c r="F67" i="4" s="1"/>
  <c r="E18" i="5" l="1"/>
  <c r="F90" i="4" a="1"/>
  <c r="F90" i="4" s="1"/>
  <c r="G22" i="1" a="1"/>
  <c r="G22" i="1" s="1"/>
  <c r="G22" i="2" l="1" a="1"/>
  <c r="G22" i="2" s="1"/>
  <c r="G21" i="2"/>
  <c r="H22" i="1" a="1"/>
  <c r="H22" i="1" s="1"/>
  <c r="I22" i="1" a="1"/>
  <c r="I22" i="1" s="1"/>
  <c r="J22" i="1" a="1"/>
  <c r="J22" i="1" s="1"/>
  <c r="G66" i="3"/>
  <c r="G4" i="4"/>
  <c r="G5" i="4"/>
  <c r="G6" i="4"/>
  <c r="G3" i="4"/>
  <c r="K48" i="4"/>
  <c r="L48" i="4"/>
  <c r="M48" i="4"/>
  <c r="N48" i="4"/>
  <c r="O48" i="4"/>
  <c r="K49" i="4"/>
  <c r="L49" i="4"/>
  <c r="M49" i="4"/>
  <c r="N49" i="4"/>
  <c r="O49" i="4"/>
  <c r="K50" i="4"/>
  <c r="L50" i="4"/>
  <c r="M50" i="4"/>
  <c r="N50" i="4"/>
  <c r="O50" i="4"/>
  <c r="K51" i="4"/>
  <c r="L51" i="4"/>
  <c r="M51" i="4"/>
  <c r="N51" i="4"/>
  <c r="O51" i="4"/>
  <c r="K52" i="4"/>
  <c r="L52" i="4"/>
  <c r="M52" i="4"/>
  <c r="N52" i="4"/>
  <c r="O52" i="4"/>
  <c r="K53" i="4"/>
  <c r="L53" i="4"/>
  <c r="M53" i="4"/>
  <c r="N53" i="4"/>
  <c r="O53" i="4"/>
  <c r="K54" i="4"/>
  <c r="L54" i="4"/>
  <c r="M54" i="4"/>
  <c r="N54" i="4"/>
  <c r="O54" i="4"/>
  <c r="K55" i="4"/>
  <c r="L55" i="4"/>
  <c r="M55" i="4"/>
  <c r="N55" i="4"/>
  <c r="O55" i="4"/>
  <c r="K56" i="4"/>
  <c r="L56" i="4"/>
  <c r="M56" i="4"/>
  <c r="N56" i="4"/>
  <c r="O56" i="4"/>
  <c r="K57" i="4"/>
  <c r="L57" i="4"/>
  <c r="M57" i="4"/>
  <c r="N57" i="4"/>
  <c r="O57" i="4"/>
  <c r="K58" i="4"/>
  <c r="L58" i="4"/>
  <c r="M58" i="4"/>
  <c r="N58" i="4"/>
  <c r="O58" i="4"/>
  <c r="K59" i="4"/>
  <c r="L59" i="4"/>
  <c r="M59" i="4"/>
  <c r="N59" i="4"/>
  <c r="O59" i="4"/>
  <c r="K60" i="4"/>
  <c r="L60" i="4"/>
  <c r="M60" i="4"/>
  <c r="N60" i="4"/>
  <c r="O60" i="4"/>
  <c r="K61" i="4"/>
  <c r="L61" i="4"/>
  <c r="M61" i="4"/>
  <c r="N61" i="4"/>
  <c r="O61" i="4"/>
  <c r="K62" i="4"/>
  <c r="L62" i="4"/>
  <c r="M62" i="4"/>
  <c r="N62" i="4"/>
  <c r="O62" i="4"/>
  <c r="J62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48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H4" i="4"/>
  <c r="H5" i="4"/>
  <c r="H6" i="4"/>
  <c r="H3" i="4"/>
  <c r="F4" i="4"/>
  <c r="F5" i="4"/>
  <c r="F6" i="4"/>
  <c r="F3" i="4"/>
  <c r="L71" i="3"/>
  <c r="K47" i="3"/>
  <c r="Y63" i="3"/>
  <c r="Z63" i="3"/>
  <c r="AA63" i="3"/>
  <c r="AB63" i="3"/>
  <c r="AC63" i="3"/>
  <c r="AD63" i="3"/>
  <c r="AE63" i="3"/>
  <c r="AF63" i="3"/>
  <c r="AG63" i="3"/>
  <c r="AH63" i="3"/>
  <c r="Y64" i="3"/>
  <c r="Z64" i="3"/>
  <c r="AA64" i="3"/>
  <c r="AB64" i="3"/>
  <c r="AC64" i="3"/>
  <c r="AD64" i="3"/>
  <c r="AE64" i="3"/>
  <c r="AF64" i="3"/>
  <c r="AG64" i="3"/>
  <c r="AH64" i="3"/>
  <c r="Y65" i="3"/>
  <c r="Z65" i="3"/>
  <c r="AA65" i="3"/>
  <c r="AB65" i="3"/>
  <c r="AC65" i="3"/>
  <c r="AD65" i="3"/>
  <c r="AE65" i="3"/>
  <c r="AF65" i="3"/>
  <c r="AG65" i="3"/>
  <c r="AH65" i="3"/>
  <c r="Y66" i="3"/>
  <c r="Z66" i="3"/>
  <c r="AA66" i="3"/>
  <c r="AB66" i="3"/>
  <c r="AC66" i="3"/>
  <c r="AD66" i="3"/>
  <c r="AE66" i="3"/>
  <c r="AF66" i="3"/>
  <c r="AG66" i="3"/>
  <c r="AH66" i="3"/>
  <c r="Y67" i="3"/>
  <c r="Z67" i="3"/>
  <c r="AA67" i="3"/>
  <c r="AB67" i="3"/>
  <c r="AC67" i="3"/>
  <c r="AD67" i="3"/>
  <c r="AE67" i="3"/>
  <c r="AF67" i="3"/>
  <c r="AG67" i="3"/>
  <c r="AH67" i="3"/>
  <c r="Y68" i="3"/>
  <c r="Z68" i="3"/>
  <c r="AA68" i="3"/>
  <c r="AB68" i="3"/>
  <c r="AC68" i="3"/>
  <c r="AD68" i="3"/>
  <c r="AE68" i="3"/>
  <c r="AF68" i="3"/>
  <c r="AG68" i="3"/>
  <c r="AH68" i="3"/>
  <c r="Y69" i="3"/>
  <c r="Z69" i="3"/>
  <c r="AA69" i="3"/>
  <c r="AB69" i="3"/>
  <c r="AC69" i="3"/>
  <c r="AD69" i="3"/>
  <c r="AE69" i="3"/>
  <c r="AF69" i="3"/>
  <c r="AG69" i="3"/>
  <c r="AH69" i="3"/>
  <c r="Y70" i="3"/>
  <c r="Z70" i="3"/>
  <c r="AA70" i="3"/>
  <c r="AB70" i="3"/>
  <c r="AC70" i="3"/>
  <c r="AD70" i="3"/>
  <c r="AE70" i="3"/>
  <c r="AF70" i="3"/>
  <c r="AG70" i="3"/>
  <c r="AH70" i="3"/>
  <c r="Y71" i="3"/>
  <c r="Z71" i="3"/>
  <c r="AA71" i="3"/>
  <c r="AB71" i="3"/>
  <c r="AC71" i="3"/>
  <c r="AD71" i="3"/>
  <c r="AE71" i="3"/>
  <c r="AF71" i="3"/>
  <c r="AG71" i="3"/>
  <c r="AH71" i="3"/>
  <c r="Y72" i="3"/>
  <c r="Z72" i="3"/>
  <c r="AA72" i="3"/>
  <c r="AB72" i="3"/>
  <c r="AC72" i="3"/>
  <c r="AD72" i="3"/>
  <c r="AE72" i="3"/>
  <c r="AF72" i="3"/>
  <c r="AG72" i="3"/>
  <c r="AH72" i="3"/>
  <c r="Y73" i="3"/>
  <c r="Z73" i="3"/>
  <c r="AA73" i="3"/>
  <c r="AB73" i="3"/>
  <c r="AC73" i="3"/>
  <c r="AD73" i="3"/>
  <c r="AE73" i="3"/>
  <c r="AF73" i="3"/>
  <c r="AG73" i="3"/>
  <c r="AH73" i="3"/>
  <c r="Y74" i="3"/>
  <c r="Z74" i="3"/>
  <c r="AA74" i="3"/>
  <c r="AB74" i="3"/>
  <c r="AC74" i="3"/>
  <c r="AD74" i="3"/>
  <c r="AE74" i="3"/>
  <c r="AF74" i="3"/>
  <c r="AG74" i="3"/>
  <c r="AH74" i="3"/>
  <c r="Y75" i="3"/>
  <c r="Z75" i="3"/>
  <c r="AA75" i="3"/>
  <c r="AB75" i="3"/>
  <c r="AC75" i="3"/>
  <c r="AD75" i="3"/>
  <c r="AE75" i="3"/>
  <c r="AF75" i="3"/>
  <c r="AG75" i="3"/>
  <c r="AH75" i="3"/>
  <c r="Y76" i="3"/>
  <c r="Z76" i="3"/>
  <c r="AA76" i="3"/>
  <c r="AB76" i="3"/>
  <c r="AC76" i="3"/>
  <c r="AD76" i="3"/>
  <c r="AE76" i="3"/>
  <c r="AF76" i="3"/>
  <c r="AG76" i="3"/>
  <c r="AH76" i="3"/>
  <c r="Y77" i="3"/>
  <c r="Z77" i="3"/>
  <c r="AA77" i="3"/>
  <c r="AB77" i="3"/>
  <c r="AC77" i="3"/>
  <c r="AD77" i="3"/>
  <c r="AE77" i="3"/>
  <c r="AF77" i="3"/>
  <c r="AG77" i="3"/>
  <c r="AH77" i="3"/>
  <c r="U63" i="3"/>
  <c r="AB81" i="3" s="1" a="1"/>
  <c r="AB81" i="3" s="1"/>
  <c r="V63" i="3"/>
  <c r="W63" i="3"/>
  <c r="X63" i="3"/>
  <c r="U64" i="3"/>
  <c r="V64" i="3"/>
  <c r="W64" i="3"/>
  <c r="X64" i="3"/>
  <c r="U65" i="3"/>
  <c r="V65" i="3"/>
  <c r="W65" i="3"/>
  <c r="X65" i="3"/>
  <c r="U66" i="3"/>
  <c r="V66" i="3"/>
  <c r="W66" i="3"/>
  <c r="X66" i="3"/>
  <c r="U67" i="3"/>
  <c r="V67" i="3"/>
  <c r="W67" i="3"/>
  <c r="X67" i="3"/>
  <c r="U68" i="3"/>
  <c r="V68" i="3"/>
  <c r="W68" i="3"/>
  <c r="X68" i="3"/>
  <c r="U69" i="3"/>
  <c r="V69" i="3"/>
  <c r="W69" i="3"/>
  <c r="X69" i="3"/>
  <c r="U70" i="3"/>
  <c r="V70" i="3"/>
  <c r="W70" i="3"/>
  <c r="X70" i="3"/>
  <c r="U71" i="3"/>
  <c r="V71" i="3"/>
  <c r="W71" i="3"/>
  <c r="X71" i="3"/>
  <c r="U72" i="3"/>
  <c r="V72" i="3"/>
  <c r="W72" i="3"/>
  <c r="X72" i="3"/>
  <c r="U73" i="3"/>
  <c r="V73" i="3"/>
  <c r="W73" i="3"/>
  <c r="X73" i="3"/>
  <c r="U74" i="3"/>
  <c r="V74" i="3"/>
  <c r="W74" i="3"/>
  <c r="X74" i="3"/>
  <c r="U75" i="3"/>
  <c r="V75" i="3"/>
  <c r="W75" i="3"/>
  <c r="X75" i="3"/>
  <c r="U76" i="3"/>
  <c r="V76" i="3"/>
  <c r="W76" i="3"/>
  <c r="X76" i="3"/>
  <c r="U77" i="3"/>
  <c r="V77" i="3"/>
  <c r="W77" i="3"/>
  <c r="X77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63" i="3"/>
  <c r="C63" i="3"/>
  <c r="D63" i="3"/>
  <c r="E63" i="3"/>
  <c r="F63" i="3"/>
  <c r="G63" i="3"/>
  <c r="H63" i="3"/>
  <c r="I63" i="3"/>
  <c r="J81" i="3" s="1" a="1"/>
  <c r="J81" i="3" s="1"/>
  <c r="J63" i="3"/>
  <c r="K63" i="3"/>
  <c r="L63" i="3"/>
  <c r="M63" i="3"/>
  <c r="N63" i="3"/>
  <c r="O63" i="3"/>
  <c r="P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C66" i="3"/>
  <c r="D66" i="3"/>
  <c r="E66" i="3"/>
  <c r="F66" i="3"/>
  <c r="H66" i="3"/>
  <c r="I66" i="3"/>
  <c r="J66" i="3"/>
  <c r="K66" i="3"/>
  <c r="L66" i="3"/>
  <c r="M66" i="3"/>
  <c r="N66" i="3"/>
  <c r="O66" i="3"/>
  <c r="P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C71" i="3"/>
  <c r="D71" i="3"/>
  <c r="E71" i="3"/>
  <c r="F71" i="3"/>
  <c r="G71" i="3"/>
  <c r="H71" i="3"/>
  <c r="I71" i="3"/>
  <c r="J71" i="3"/>
  <c r="K71" i="3"/>
  <c r="M71" i="3"/>
  <c r="N71" i="3"/>
  <c r="O71" i="3"/>
  <c r="P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63" i="3"/>
  <c r="J41" i="3"/>
  <c r="T44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AB59" i="3" s="1" a="1"/>
  <c r="AB59" i="3" s="1"/>
  <c r="C41" i="3"/>
  <c r="D41" i="3"/>
  <c r="E41" i="3"/>
  <c r="F41" i="3"/>
  <c r="G41" i="3"/>
  <c r="H41" i="3"/>
  <c r="I41" i="3"/>
  <c r="K41" i="3"/>
  <c r="L41" i="3"/>
  <c r="M41" i="3"/>
  <c r="N41" i="3"/>
  <c r="O41" i="3"/>
  <c r="P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C47" i="3"/>
  <c r="D47" i="3"/>
  <c r="E47" i="3"/>
  <c r="F47" i="3"/>
  <c r="G47" i="3"/>
  <c r="H47" i="3"/>
  <c r="I47" i="3"/>
  <c r="J47" i="3"/>
  <c r="L47" i="3"/>
  <c r="M47" i="3"/>
  <c r="N47" i="3"/>
  <c r="O47" i="3"/>
  <c r="P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41" i="3"/>
  <c r="J59" i="3" s="1" a="1"/>
  <c r="J59" i="3" s="1"/>
  <c r="I67" i="4" l="1"/>
  <c r="O90" i="4" a="1"/>
  <c r="O90" i="4" s="1"/>
  <c r="B67" i="4"/>
  <c r="J67" i="4"/>
  <c r="K67" i="4"/>
  <c r="L67" i="4"/>
  <c r="M67" i="4"/>
  <c r="O67" i="4" a="1"/>
  <c r="O67" i="4" s="1"/>
  <c r="B90" i="4"/>
  <c r="G90" i="4" a="1"/>
  <c r="G90" i="4" s="1"/>
  <c r="E90" i="4"/>
  <c r="L81" i="3" a="1"/>
  <c r="L81" i="3" s="1"/>
  <c r="F81" i="3"/>
  <c r="AD59" i="3" a="1"/>
  <c r="AD59" i="3" s="1"/>
  <c r="AD81" i="3" a="1"/>
  <c r="AD81" i="3" s="1"/>
  <c r="T81" i="3"/>
  <c r="H59" i="3"/>
  <c r="B81" i="3"/>
  <c r="D81" i="3"/>
  <c r="H81" i="3"/>
  <c r="L59" i="3" a="1"/>
  <c r="L59" i="3" s="1"/>
  <c r="B59" i="3"/>
  <c r="V81" i="3"/>
  <c r="D59" i="3"/>
  <c r="X81" i="3"/>
  <c r="Z81" i="3"/>
  <c r="T59" i="3"/>
  <c r="F59" i="3"/>
  <c r="V59" i="3"/>
  <c r="X59" i="3"/>
  <c r="Z59" i="3"/>
  <c r="J21" i="2"/>
  <c r="H21" i="2"/>
  <c r="I23" i="2" a="1"/>
  <c r="I23" i="2" s="1"/>
  <c r="G23" i="2" a="1"/>
  <c r="G23" i="2" s="1"/>
  <c r="H21" i="1"/>
  <c r="J21" i="1"/>
  <c r="G23" i="1" a="1"/>
  <c r="G23" i="1" s="1"/>
  <c r="I21" i="1"/>
  <c r="J20" i="1"/>
  <c r="H20" i="1"/>
  <c r="J23" i="1" a="1"/>
  <c r="J23" i="1" s="1"/>
  <c r="H23" i="1" a="1"/>
  <c r="H23" i="1" s="1"/>
  <c r="G20" i="1"/>
  <c r="G21" i="1"/>
  <c r="I20" i="1"/>
  <c r="I23" i="1" a="1"/>
  <c r="I23" i="1" s="1"/>
  <c r="I90" i="4"/>
  <c r="J90" i="4"/>
  <c r="K90" i="4"/>
  <c r="L90" i="4"/>
  <c r="M90" i="4"/>
  <c r="A90" i="4"/>
  <c r="C90" i="4"/>
  <c r="D90" i="4"/>
  <c r="A67" i="4"/>
  <c r="C67" i="4"/>
  <c r="D67" i="4"/>
  <c r="E67" i="4"/>
  <c r="G67" i="4" a="1"/>
  <c r="G67" i="4" s="1"/>
  <c r="I21" i="2"/>
  <c r="H22" i="2" a="1"/>
  <c r="H22" i="2" s="1"/>
  <c r="I22" i="2" a="1"/>
  <c r="I22" i="2" s="1"/>
  <c r="J22" i="2" a="1"/>
  <c r="J22" i="2" s="1"/>
  <c r="G20" i="2"/>
  <c r="H20" i="2"/>
  <c r="I20" i="2"/>
  <c r="H23" i="2" a="1"/>
  <c r="H23" i="2" s="1"/>
  <c r="J20" i="2"/>
  <c r="J23" i="2" a="1"/>
  <c r="J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Chun</author>
  </authors>
  <commentList>
    <comment ref="A103" authorId="0" shapeId="0" xr:uid="{14F28402-CBC3-4B58-B615-6C3D93F1F7BD}">
      <text>
        <r>
          <rPr>
            <b/>
            <sz val="9"/>
            <color indexed="81"/>
            <rFont val="Tahoma"/>
            <family val="2"/>
          </rPr>
          <t>Nikki Chun:</t>
        </r>
        <r>
          <rPr>
            <sz val="9"/>
            <color indexed="81"/>
            <rFont val="Tahoma"/>
            <family val="2"/>
          </rPr>
          <t xml:space="preserve">
copy and paste the weight agancency matrix above so then you can copy and paste the weights into a table and you don't have to manually fill the table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Chun</author>
  </authors>
  <commentList>
    <comment ref="G62" authorId="0" shapeId="0" xr:uid="{25454A04-506F-4F77-B7D1-54E5389BDC8B}">
      <text>
        <r>
          <rPr>
            <b/>
            <sz val="9"/>
            <color indexed="81"/>
            <rFont val="Tahoma"/>
            <family val="2"/>
          </rPr>
          <t>Nikki Chun:</t>
        </r>
        <r>
          <rPr>
            <sz val="9"/>
            <color indexed="81"/>
            <rFont val="Tahoma"/>
            <family val="2"/>
          </rPr>
          <t xml:space="preserve">
same max difference value
across and different alphas have same values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<sst xmlns="http://schemas.openxmlformats.org/spreadsheetml/2006/main" count="1060" uniqueCount="96">
  <si>
    <t>ID</t>
  </si>
  <si>
    <t>Missing (0.02)</t>
  </si>
  <si>
    <t>Missing (0.002)</t>
  </si>
  <si>
    <t>No Missing (0.02)</t>
  </si>
  <si>
    <t>No Missing (0.002)</t>
  </si>
  <si>
    <t>ACE2</t>
  </si>
  <si>
    <t>ASH1</t>
  </si>
  <si>
    <t>CIN5</t>
  </si>
  <si>
    <t>GLN3</t>
  </si>
  <si>
    <t>HAP4</t>
  </si>
  <si>
    <t>HMO1</t>
  </si>
  <si>
    <t>MSN2</t>
  </si>
  <si>
    <t>SFP1</t>
  </si>
  <si>
    <t>SWI4</t>
  </si>
  <si>
    <t>YHP1</t>
  </si>
  <si>
    <t>YOX1</t>
  </si>
  <si>
    <t>ZAP1</t>
  </si>
  <si>
    <t>Outputs</t>
  </si>
  <si>
    <t>Missing (0.02) - missing (0.002)</t>
  </si>
  <si>
    <t>No Missing (0.02) - no missing (0.002)</t>
  </si>
  <si>
    <t>Difference between alpha values</t>
  </si>
  <si>
    <t>Difference between missing and no missing</t>
  </si>
  <si>
    <t>Missing (0.02) - no missing (0.02)</t>
  </si>
  <si>
    <t>Missing (0.002) - no missing (0.002)</t>
  </si>
  <si>
    <t>Summary Stats</t>
  </si>
  <si>
    <t>Mean:</t>
  </si>
  <si>
    <t>Median:</t>
  </si>
  <si>
    <t>Min (abs):</t>
  </si>
  <si>
    <t>Max (abs):</t>
  </si>
  <si>
    <t>cols regulators/rows targets</t>
  </si>
  <si>
    <t>Output from Missing Values (alpha 0.002)</t>
  </si>
  <si>
    <t>Output from Missing Values (alpha 0.02)</t>
  </si>
  <si>
    <t>Output from No Missing Values (alpha (0.02)</t>
  </si>
  <si>
    <t>Output for No Missing Values (alpha 0.002)</t>
  </si>
  <si>
    <t>Difference for alpha 0.02 (no missing values - missing values)</t>
  </si>
  <si>
    <t>Difference for alpha 0.002 (no missing values - missing values)</t>
  </si>
  <si>
    <t>Mean</t>
  </si>
  <si>
    <t>Median</t>
  </si>
  <si>
    <t>Min (abs)</t>
  </si>
  <si>
    <t>Max (abs)</t>
  </si>
  <si>
    <t xml:space="preserve">Min </t>
  </si>
  <si>
    <t xml:space="preserve">Max </t>
  </si>
  <si>
    <t>Parameter Values</t>
  </si>
  <si>
    <t>LSE</t>
  </si>
  <si>
    <t>Penalty</t>
  </si>
  <si>
    <t>min LSE</t>
  </si>
  <si>
    <t>iteration count</t>
  </si>
  <si>
    <t>Gene</t>
  </si>
  <si>
    <t>wt MSE</t>
  </si>
  <si>
    <t>dcin5 MSE</t>
  </si>
  <si>
    <t>dgln3 MSE</t>
  </si>
  <si>
    <t>dhap4 MSE</t>
  </si>
  <si>
    <t>dhmo1 MSE</t>
  </si>
  <si>
    <t>dzap1 MSE</t>
  </si>
  <si>
    <t>Missing (0.02) Output</t>
  </si>
  <si>
    <t>Missing (0.002) Output</t>
  </si>
  <si>
    <t>No Missing (0.02) Output</t>
  </si>
  <si>
    <t>No Missing (0.002) Output</t>
  </si>
  <si>
    <t>Standard Dev</t>
  </si>
  <si>
    <t>id</t>
  </si>
  <si>
    <t>GCR2</t>
  </si>
  <si>
    <t>STB5</t>
  </si>
  <si>
    <t>SWI5</t>
  </si>
  <si>
    <t>Difference for values with different alpha no missing (0.002 - 0.02)</t>
  </si>
  <si>
    <t>Difference for values with different alpha missing (0.002 - 0.02)</t>
  </si>
  <si>
    <t>SW15</t>
  </si>
  <si>
    <t>Missing</t>
  </si>
  <si>
    <t>Original No Missing</t>
  </si>
  <si>
    <t>Corrected No Missing</t>
  </si>
  <si>
    <t>LSE (Missing and Original)</t>
  </si>
  <si>
    <t>LSE (Missing and Corrected)</t>
  </si>
  <si>
    <t>Production Rates</t>
  </si>
  <si>
    <t>Sum</t>
  </si>
  <si>
    <t>Regulator</t>
  </si>
  <si>
    <t>Target</t>
  </si>
  <si>
    <t>w when α value = 0.002 (missing)</t>
  </si>
  <si>
    <t>w when α value = 0.002 (no missing)</t>
  </si>
  <si>
    <t>w when α value = 0.02 (missing)</t>
  </si>
  <si>
    <t>w when α value = 0.02 (no missing)</t>
  </si>
  <si>
    <t>weight</t>
  </si>
  <si>
    <t>Absolute difference (missing - no missing) α value = 0.002</t>
  </si>
  <si>
    <t>Absolute difference (missing - no missing) α value = 0.02</t>
  </si>
  <si>
    <t>red shows if the value increased with the new alpha</t>
  </si>
  <si>
    <t>¯</t>
  </si>
  <si>
    <t>­</t>
  </si>
  <si>
    <t>rank</t>
  </si>
  <si>
    <t>order</t>
  </si>
  <si>
    <t>difference</t>
  </si>
  <si>
    <t>Rank α value = 0.002</t>
  </si>
  <si>
    <t>Rank α value = 0.02</t>
  </si>
  <si>
    <t>average</t>
  </si>
  <si>
    <t>stdev</t>
  </si>
  <si>
    <t>sum</t>
  </si>
  <si>
    <r>
      <t>ABS diff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0.002)</t>
    </r>
  </si>
  <si>
    <r>
      <t>ABS diff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0.02)</t>
    </r>
  </si>
  <si>
    <t xml:space="preserve">sum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</si>
</sst>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E+00"/>
    <numFmt numFmtId="170" formatCode="0.000"/>
    <numFmt numFmtId="175" formatCode="0.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color theme="1"/>
      <name val="Aptos Narrow"/>
      <family val="2"/>
    </font>
    <font>
      <sz val="9.6999999999999993"/>
      <color theme="1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1" fillId="0" borderId="0" xfId="1" applyFont="1"/>
    <xf numFmtId="0" fontId="0" fillId="0" borderId="0" xfId="1" applyFont="1"/>
    <xf numFmtId="0" fontId="4" fillId="0" borderId="0" xfId="1" applyFont="1"/>
    <xf numFmtId="0" fontId="2" fillId="0" borderId="0" xfId="0" applyFont="1"/>
    <xf numFmtId="0" fontId="3" fillId="0" borderId="0" xfId="1"/>
    <xf numFmtId="0" fontId="2" fillId="0" borderId="0" xfId="1" applyFont="1"/>
    <xf numFmtId="0" fontId="5" fillId="0" borderId="0" xfId="0" applyFont="1"/>
    <xf numFmtId="0" fontId="6" fillId="0" borderId="0" xfId="1" applyFont="1"/>
    <xf numFmtId="0" fontId="5" fillId="0" borderId="0" xfId="1" applyFont="1"/>
    <xf numFmtId="0" fontId="1" fillId="0" borderId="0" xfId="2"/>
    <xf numFmtId="0" fontId="5" fillId="0" borderId="0" xfId="2" applyFont="1"/>
    <xf numFmtId="0" fontId="9" fillId="0" borderId="0" xfId="1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1" applyNumberFormat="1" applyFont="1"/>
    <xf numFmtId="1" fontId="1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  <xf numFmtId="170" fontId="0" fillId="0" borderId="0" xfId="0" applyNumberFormat="1"/>
    <xf numFmtId="0" fontId="15" fillId="0" borderId="0" xfId="0" applyFont="1"/>
    <xf numFmtId="0" fontId="13" fillId="0" borderId="5" xfId="0" applyFont="1" applyFill="1" applyBorder="1" applyAlignment="1">
      <alignment vertical="center" wrapText="1"/>
    </xf>
    <xf numFmtId="175" fontId="0" fillId="0" borderId="0" xfId="0" applyNumberFormat="1"/>
  </cellXfs>
  <cellStyles count="5">
    <cellStyle name="Normal" xfId="0" builtinId="0"/>
    <cellStyle name="Normal 2" xfId="2" xr:uid="{0D53CD1F-55E7-4A4C-92CF-627DA013722D}"/>
    <cellStyle name="Normal 3" xfId="3" xr:uid="{D911F80F-46A0-4717-A1F1-E88F851227FC}"/>
    <cellStyle name="Normal 4" xfId="4" xr:uid="{53AF9BA8-A272-47A6-9DA0-A77352B7457E}"/>
    <cellStyle name="Normal 5" xfId="1" xr:uid="{3A26F813-6178-4E1C-8A63-2F0F52AA5111}"/>
  </cellStyles>
  <dxfs count="12">
    <dxf>
      <fill>
        <patternFill>
          <bgColor rgb="FFFF0000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561B-8B5C-4FF2-8EA3-3372AD5C13CE}">
  <dimension ref="A1:J71"/>
  <sheetViews>
    <sheetView topLeftCell="A42" zoomScale="88" workbookViewId="0">
      <selection activeCell="G54" sqref="G54"/>
    </sheetView>
  </sheetViews>
  <sheetFormatPr defaultRowHeight="14.4" x14ac:dyDescent="0.3"/>
  <cols>
    <col min="2" max="2" width="12.5546875" bestFit="1" customWidth="1"/>
    <col min="3" max="3" width="13.33203125" bestFit="1" customWidth="1"/>
    <col min="4" max="4" width="15.21875" bestFit="1" customWidth="1"/>
    <col min="5" max="5" width="16.21875" bestFit="1" customWidth="1"/>
    <col min="6" max="6" width="10.5546875" bestFit="1" customWidth="1"/>
    <col min="7" max="7" width="26.109375" bestFit="1" customWidth="1"/>
    <col min="8" max="8" width="31.6640625" bestFit="1" customWidth="1"/>
    <col min="9" max="9" width="37.88671875" bestFit="1" customWidth="1"/>
    <col min="10" max="10" width="29.77734375" bestFit="1" customWidth="1"/>
  </cols>
  <sheetData>
    <row r="1" spans="1:10" x14ac:dyDescent="0.3">
      <c r="A1" s="18" t="s">
        <v>17</v>
      </c>
      <c r="B1" s="19"/>
      <c r="C1" s="19"/>
      <c r="D1" s="19"/>
      <c r="E1" s="19"/>
      <c r="G1" s="18" t="s">
        <v>20</v>
      </c>
      <c r="H1" s="18"/>
      <c r="I1" s="18" t="s">
        <v>21</v>
      </c>
      <c r="J1" s="18"/>
    </row>
    <row r="2" spans="1:10" x14ac:dyDescent="0.3">
      <c r="A2" s="2" t="s">
        <v>59</v>
      </c>
      <c r="B2" s="2" t="s">
        <v>1</v>
      </c>
      <c r="C2" t="s">
        <v>2</v>
      </c>
      <c r="D2" t="s">
        <v>3</v>
      </c>
      <c r="E2" t="s">
        <v>4</v>
      </c>
      <c r="G2" t="s">
        <v>18</v>
      </c>
      <c r="H2" t="s">
        <v>19</v>
      </c>
      <c r="I2" t="s">
        <v>22</v>
      </c>
      <c r="J2" t="s">
        <v>23</v>
      </c>
    </row>
    <row r="3" spans="1:10" x14ac:dyDescent="0.3">
      <c r="A3" s="2" t="s">
        <v>5</v>
      </c>
      <c r="B3" s="2">
        <v>0.17003035482701248</v>
      </c>
      <c r="C3" s="2">
        <v>0.20169762419350315</v>
      </c>
      <c r="D3" s="2">
        <v>0.16398292202062828</v>
      </c>
      <c r="E3" s="2">
        <v>0.16323144740228401</v>
      </c>
      <c r="G3">
        <f>ABS(B3-C3)</f>
        <v>3.1667269366490669E-2</v>
      </c>
      <c r="H3">
        <f>ABS(D3-E3)</f>
        <v>7.5147461834426665E-4</v>
      </c>
      <c r="I3">
        <f>ABS(B3-D3)</f>
        <v>6.0474328063842009E-3</v>
      </c>
      <c r="J3">
        <f>ABS(C3-E3)</f>
        <v>3.8466176791219137E-2</v>
      </c>
    </row>
    <row r="4" spans="1:10" x14ac:dyDescent="0.3">
      <c r="A4" s="2" t="s">
        <v>6</v>
      </c>
      <c r="B4" s="2">
        <v>0.97271855399742901</v>
      </c>
      <c r="C4" s="2">
        <v>1.6768486409669303</v>
      </c>
      <c r="D4" s="2">
        <v>1.460232626002737</v>
      </c>
      <c r="E4" s="2">
        <v>2.02107429357046</v>
      </c>
      <c r="G4">
        <f t="shared" ref="G4:G17" si="0">ABS(B4-C4)</f>
        <v>0.7041300869695013</v>
      </c>
      <c r="H4">
        <f t="shared" ref="H4:H17" si="1">ABS(D4-E4)</f>
        <v>0.56084166756772302</v>
      </c>
      <c r="I4">
        <f t="shared" ref="I4:I17" si="2">ABS(B4-D4)</f>
        <v>0.48751407200530794</v>
      </c>
      <c r="J4">
        <f t="shared" ref="J4:J17" si="3">ABS(C4-E4)</f>
        <v>0.34422565260352966</v>
      </c>
    </row>
    <row r="5" spans="1:10" x14ac:dyDescent="0.3">
      <c r="A5" s="2" t="s">
        <v>7</v>
      </c>
      <c r="B5" s="2">
        <v>0.82773199953272192</v>
      </c>
      <c r="C5" s="2">
        <v>0.65562670912205878</v>
      </c>
      <c r="D5" s="2">
        <v>0.55103853607758058</v>
      </c>
      <c r="E5" s="2">
        <v>0.94885192811887287</v>
      </c>
      <c r="G5">
        <f t="shared" si="0"/>
        <v>0.17210529041066314</v>
      </c>
      <c r="H5">
        <f t="shared" si="1"/>
        <v>0.39781339204129229</v>
      </c>
      <c r="I5">
        <f t="shared" si="2"/>
        <v>0.27669346345514134</v>
      </c>
      <c r="J5">
        <f t="shared" si="3"/>
        <v>0.29322521899681409</v>
      </c>
    </row>
    <row r="6" spans="1:10" x14ac:dyDescent="0.3">
      <c r="A6" s="2" t="s">
        <v>60</v>
      </c>
      <c r="B6" s="2">
        <v>0.24683125729473396</v>
      </c>
      <c r="C6" s="2">
        <v>0.23152673595955778</v>
      </c>
      <c r="D6" s="2">
        <v>0.25404184986441691</v>
      </c>
      <c r="E6" s="2">
        <v>0.2352973566523876</v>
      </c>
      <c r="G6">
        <f t="shared" si="0"/>
        <v>1.530452133517618E-2</v>
      </c>
      <c r="H6">
        <f t="shared" si="1"/>
        <v>1.8744493212029312E-2</v>
      </c>
      <c r="I6">
        <f t="shared" si="2"/>
        <v>7.2105925696829554E-3</v>
      </c>
      <c r="J6">
        <f t="shared" si="3"/>
        <v>3.7706206928298236E-3</v>
      </c>
    </row>
    <row r="7" spans="1:10" x14ac:dyDescent="0.3">
      <c r="A7" s="2" t="s">
        <v>8</v>
      </c>
      <c r="B7" s="2">
        <v>0.34956626453080608</v>
      </c>
      <c r="C7" s="2">
        <v>0.3021286014805124</v>
      </c>
      <c r="D7" s="2">
        <v>0.35152936977916438</v>
      </c>
      <c r="E7" s="2">
        <v>0.28781249116118118</v>
      </c>
      <c r="G7">
        <f t="shared" si="0"/>
        <v>4.7437663050293677E-2</v>
      </c>
      <c r="H7">
        <f t="shared" si="1"/>
        <v>6.3716878617983197E-2</v>
      </c>
      <c r="I7">
        <f t="shared" si="2"/>
        <v>1.9631052483582989E-3</v>
      </c>
      <c r="J7">
        <f t="shared" si="3"/>
        <v>1.4316110319331221E-2</v>
      </c>
    </row>
    <row r="8" spans="1:10" x14ac:dyDescent="0.3">
      <c r="A8" s="2" t="s">
        <v>9</v>
      </c>
      <c r="B8" s="6">
        <v>0.82649435959036677</v>
      </c>
      <c r="C8" s="2">
        <v>1.3023118610453017</v>
      </c>
      <c r="D8" s="2">
        <v>1.0898884111375589</v>
      </c>
      <c r="E8" s="2">
        <v>1.6615081887259706</v>
      </c>
      <c r="G8">
        <f t="shared" si="0"/>
        <v>0.47581750145493495</v>
      </c>
      <c r="H8">
        <f t="shared" si="1"/>
        <v>0.57161977758841176</v>
      </c>
      <c r="I8">
        <f t="shared" si="2"/>
        <v>0.26339405154719209</v>
      </c>
      <c r="J8">
        <f t="shared" si="3"/>
        <v>0.35919632768066889</v>
      </c>
    </row>
    <row r="9" spans="1:10" x14ac:dyDescent="0.3">
      <c r="A9" s="2" t="s">
        <v>10</v>
      </c>
      <c r="B9" s="2">
        <v>0.2369081587600354</v>
      </c>
      <c r="C9" s="2">
        <v>0.30671416104074101</v>
      </c>
      <c r="D9" s="2">
        <v>0.20186432980609054</v>
      </c>
      <c r="E9" s="2">
        <v>0.23867448750440506</v>
      </c>
      <c r="G9">
        <f t="shared" si="0"/>
        <v>6.9806002280705604E-2</v>
      </c>
      <c r="H9">
        <f t="shared" si="1"/>
        <v>3.6810157698314527E-2</v>
      </c>
      <c r="I9">
        <f t="shared" si="2"/>
        <v>3.5043828953944867E-2</v>
      </c>
      <c r="J9">
        <f t="shared" si="3"/>
        <v>6.8039673536335943E-2</v>
      </c>
    </row>
    <row r="10" spans="1:10" x14ac:dyDescent="0.3">
      <c r="A10" s="2" t="s">
        <v>11</v>
      </c>
      <c r="B10" s="6">
        <v>1.5992994829957394</v>
      </c>
      <c r="C10" s="6">
        <v>2.5565636401035774</v>
      </c>
      <c r="D10" s="6">
        <v>0.84191386905447319</v>
      </c>
      <c r="E10" s="6">
        <v>0.88578719510612114</v>
      </c>
      <c r="G10" s="7">
        <f t="shared" si="0"/>
        <v>0.95726415710783797</v>
      </c>
      <c r="H10">
        <f t="shared" si="1"/>
        <v>4.3873326051647954E-2</v>
      </c>
      <c r="I10" s="7">
        <f t="shared" si="2"/>
        <v>0.75738561394126624</v>
      </c>
      <c r="J10" s="7">
        <f t="shared" si="3"/>
        <v>1.6707764449974563</v>
      </c>
    </row>
    <row r="11" spans="1:10" x14ac:dyDescent="0.3">
      <c r="A11" s="2" t="s">
        <v>12</v>
      </c>
      <c r="B11" s="2">
        <v>0.99802156373894302</v>
      </c>
      <c r="C11" s="2">
        <v>1.5545497700062894</v>
      </c>
      <c r="D11" s="2">
        <v>1.1909196601946015</v>
      </c>
      <c r="E11" s="2">
        <v>1.2055251691325044</v>
      </c>
      <c r="G11">
        <f>ABS(B11-C11)</f>
        <v>0.55652820626734634</v>
      </c>
      <c r="H11">
        <f t="shared" si="1"/>
        <v>1.4605508937902911E-2</v>
      </c>
      <c r="I11">
        <f t="shared" si="2"/>
        <v>0.19289809645565847</v>
      </c>
      <c r="J11">
        <f t="shared" si="3"/>
        <v>0.34902460087378495</v>
      </c>
    </row>
    <row r="12" spans="1:10" x14ac:dyDescent="0.3">
      <c r="A12" s="2" t="s">
        <v>61</v>
      </c>
      <c r="B12" s="2">
        <v>0.24516788022721547</v>
      </c>
      <c r="C12" s="2">
        <v>0.11973367529569069</v>
      </c>
      <c r="D12" s="2">
        <v>0.23116743975000878</v>
      </c>
      <c r="E12" s="2">
        <v>0.31928278716073294</v>
      </c>
      <c r="G12">
        <f t="shared" si="0"/>
        <v>0.1254342049315248</v>
      </c>
      <c r="H12">
        <f t="shared" si="1"/>
        <v>8.811534741072416E-2</v>
      </c>
      <c r="I12">
        <f t="shared" si="2"/>
        <v>1.4000440477206694E-2</v>
      </c>
      <c r="J12">
        <f t="shared" si="3"/>
        <v>0.19954911186504226</v>
      </c>
    </row>
    <row r="13" spans="1:10" x14ac:dyDescent="0.3">
      <c r="A13" s="2" t="s">
        <v>13</v>
      </c>
      <c r="B13" s="2">
        <v>0.61232115626614236</v>
      </c>
      <c r="C13" s="2">
        <v>0.31578067239915536</v>
      </c>
      <c r="D13" s="2">
        <v>0.33042703124239908</v>
      </c>
      <c r="E13" s="2">
        <v>0.24186066438245668</v>
      </c>
      <c r="G13">
        <f t="shared" si="0"/>
        <v>0.296540483866987</v>
      </c>
      <c r="H13">
        <f t="shared" si="1"/>
        <v>8.8566366859942403E-2</v>
      </c>
      <c r="I13">
        <f t="shared" si="2"/>
        <v>0.28189412502374328</v>
      </c>
      <c r="J13">
        <f t="shared" si="3"/>
        <v>7.3920008016698679E-2</v>
      </c>
    </row>
    <row r="14" spans="1:10" x14ac:dyDescent="0.3">
      <c r="A14" s="2" t="s">
        <v>62</v>
      </c>
      <c r="B14" s="2">
        <v>1.4051743615704055</v>
      </c>
      <c r="C14" s="2">
        <v>1.9213457884406318</v>
      </c>
      <c r="D14" s="2">
        <v>0.96135566843538833</v>
      </c>
      <c r="E14" s="2">
        <v>1.2455456673226464</v>
      </c>
      <c r="G14">
        <f t="shared" si="0"/>
        <v>0.51617142687022621</v>
      </c>
      <c r="H14">
        <f t="shared" si="1"/>
        <v>0.28418999888725804</v>
      </c>
      <c r="I14">
        <f t="shared" si="2"/>
        <v>0.44381869313501721</v>
      </c>
      <c r="J14">
        <f t="shared" si="3"/>
        <v>0.67580012111798538</v>
      </c>
    </row>
    <row r="15" spans="1:10" x14ac:dyDescent="0.3">
      <c r="A15" s="2" t="s">
        <v>14</v>
      </c>
      <c r="B15" s="2">
        <v>0.5486327373197738</v>
      </c>
      <c r="C15" s="2">
        <v>0.20798709920402955</v>
      </c>
      <c r="D15" s="2">
        <v>0.25452055650034477</v>
      </c>
      <c r="E15" s="2">
        <v>0.34308868811546006</v>
      </c>
      <c r="G15">
        <f t="shared" si="0"/>
        <v>0.34064563811574422</v>
      </c>
      <c r="H15">
        <f t="shared" si="1"/>
        <v>8.8568131615115286E-2</v>
      </c>
      <c r="I15">
        <f t="shared" si="2"/>
        <v>0.29411218081942903</v>
      </c>
      <c r="J15">
        <f t="shared" si="3"/>
        <v>0.13510158891143051</v>
      </c>
    </row>
    <row r="16" spans="1:10" x14ac:dyDescent="0.3">
      <c r="A16" s="2" t="s">
        <v>15</v>
      </c>
      <c r="B16" s="2">
        <v>0.89844737888218962</v>
      </c>
      <c r="C16" s="2">
        <v>1.3911530501950775</v>
      </c>
      <c r="D16" s="2">
        <v>0.67602628268588549</v>
      </c>
      <c r="E16" s="2">
        <v>0.86093051659794007</v>
      </c>
      <c r="G16">
        <f t="shared" si="0"/>
        <v>0.49270567131288789</v>
      </c>
      <c r="H16">
        <f t="shared" si="1"/>
        <v>0.18490423391205457</v>
      </c>
      <c r="I16">
        <f t="shared" si="2"/>
        <v>0.22242109619630412</v>
      </c>
      <c r="J16">
        <f t="shared" si="3"/>
        <v>0.53022253359713745</v>
      </c>
    </row>
    <row r="17" spans="1:10" x14ac:dyDescent="0.3">
      <c r="A17" s="2" t="s">
        <v>16</v>
      </c>
      <c r="B17" s="2">
        <v>0.1290941092188633</v>
      </c>
      <c r="C17" s="2">
        <v>0.12824047744417516</v>
      </c>
      <c r="D17" s="2">
        <v>0.13046396763993198</v>
      </c>
      <c r="E17" s="2">
        <v>0.12981571912066403</v>
      </c>
      <c r="G17">
        <f t="shared" si="0"/>
        <v>8.5363177468814055E-4</v>
      </c>
      <c r="H17">
        <f t="shared" si="1"/>
        <v>6.4824851926795213E-4</v>
      </c>
      <c r="I17">
        <f t="shared" si="2"/>
        <v>1.3698584210686815E-3</v>
      </c>
      <c r="J17">
        <f t="shared" si="3"/>
        <v>1.5752416764888699E-3</v>
      </c>
    </row>
    <row r="18" spans="1:10" x14ac:dyDescent="0.3">
      <c r="B18" s="2"/>
      <c r="D18" s="2"/>
      <c r="E18" s="2"/>
    </row>
    <row r="19" spans="1:10" x14ac:dyDescent="0.3">
      <c r="G19" s="18" t="s">
        <v>24</v>
      </c>
      <c r="H19" s="18"/>
      <c r="I19" s="18" t="s">
        <v>24</v>
      </c>
      <c r="J19" s="19"/>
    </row>
    <row r="20" spans="1:10" x14ac:dyDescent="0.3">
      <c r="F20" t="s">
        <v>25</v>
      </c>
      <c r="G20">
        <f>AVERAGE(G3:G18)</f>
        <v>0.32016078367433393</v>
      </c>
      <c r="H20">
        <f t="shared" ref="H20:J20" si="4">AVERAGE(H3:H18)</f>
        <v>0.16291793356920076</v>
      </c>
      <c r="I20">
        <f t="shared" si="4"/>
        <v>0.21905111007038033</v>
      </c>
      <c r="J20">
        <f t="shared" si="4"/>
        <v>0.31714729544511683</v>
      </c>
    </row>
    <row r="21" spans="1:10" x14ac:dyDescent="0.3">
      <c r="F21" t="s">
        <v>26</v>
      </c>
      <c r="G21">
        <f>MEDIAN(G3:G18)</f>
        <v>0.296540483866987</v>
      </c>
      <c r="H21">
        <f t="shared" ref="H21:J21" si="5">MEDIAN(H3:H18)</f>
        <v>8.811534741072416E-2</v>
      </c>
      <c r="I21">
        <f t="shared" si="5"/>
        <v>0.22242109619630412</v>
      </c>
      <c r="J21">
        <f t="shared" si="5"/>
        <v>0.19954911186504226</v>
      </c>
    </row>
    <row r="22" spans="1:10" x14ac:dyDescent="0.3">
      <c r="F22" t="s">
        <v>27</v>
      </c>
      <c r="G22" cm="1">
        <f t="array" ref="G22">MIN(IF(G3:G18&lt;&gt;0,ABS(G3:G18)))</f>
        <v>8.5363177468814055E-4</v>
      </c>
      <c r="H22" cm="1">
        <f t="array" ref="H22">MIN(IF(H3:H18&lt;&gt;0,ABS(H3:H18)))</f>
        <v>6.4824851926795213E-4</v>
      </c>
      <c r="I22" cm="1">
        <f t="array" ref="I22">MIN(IF(I3:I18&lt;&gt;0,ABS(I3:I18)))</f>
        <v>1.3698584210686815E-3</v>
      </c>
      <c r="J22" cm="1">
        <f t="array" ref="J22">MIN(IF(J3:J18&lt;&gt;0,ABS(J3:J18)))</f>
        <v>1.5752416764888699E-3</v>
      </c>
    </row>
    <row r="23" spans="1:10" x14ac:dyDescent="0.3">
      <c r="F23" t="s">
        <v>28</v>
      </c>
      <c r="G23" cm="1">
        <f t="array" ref="G23">MAX(ABS((G3:G18)))</f>
        <v>0.95726415710783797</v>
      </c>
      <c r="H23" cm="1">
        <f t="array" ref="H23">MAX(ABS((H3:H18)))</f>
        <v>0.57161977758841176</v>
      </c>
      <c r="I23" cm="1">
        <f t="array" ref="I23">MAX(ABS((I3:I18)))</f>
        <v>0.75738561394126624</v>
      </c>
      <c r="J23" cm="1">
        <f t="array" ref="J23">MAX(ABS((J3:J18)))</f>
        <v>1.6707764449974563</v>
      </c>
    </row>
    <row r="33" spans="1:5" x14ac:dyDescent="0.3">
      <c r="A33" s="18" t="s">
        <v>17</v>
      </c>
      <c r="B33" s="19"/>
      <c r="C33" s="19"/>
      <c r="D33" s="19"/>
      <c r="E33" s="19"/>
    </row>
    <row r="34" spans="1:5" x14ac:dyDescent="0.3">
      <c r="A34" s="1" t="s">
        <v>59</v>
      </c>
      <c r="B34" s="1" t="s">
        <v>1</v>
      </c>
      <c r="C34" t="s">
        <v>2</v>
      </c>
      <c r="D34" t="s">
        <v>3</v>
      </c>
      <c r="E34" t="s">
        <v>4</v>
      </c>
    </row>
    <row r="35" spans="1:5" x14ac:dyDescent="0.3">
      <c r="A35" s="1" t="s">
        <v>5</v>
      </c>
      <c r="B35" s="1">
        <v>0.17003035482701248</v>
      </c>
      <c r="C35" s="1">
        <v>0.20169762419350315</v>
      </c>
      <c r="D35" s="1">
        <v>0.16398292202062828</v>
      </c>
      <c r="E35" s="1">
        <v>0.16323144740228401</v>
      </c>
    </row>
    <row r="36" spans="1:5" x14ac:dyDescent="0.3">
      <c r="A36" s="1" t="s">
        <v>6</v>
      </c>
      <c r="B36" s="1">
        <v>0.97271855399742901</v>
      </c>
      <c r="C36" s="1">
        <v>1.6768486409669303</v>
      </c>
      <c r="D36" s="1">
        <v>1.460232626002737</v>
      </c>
      <c r="E36" s="1">
        <v>2.02107429357046</v>
      </c>
    </row>
    <row r="37" spans="1:5" x14ac:dyDescent="0.3">
      <c r="A37" s="1" t="s">
        <v>7</v>
      </c>
      <c r="B37" s="1">
        <v>0.82773199953272192</v>
      </c>
      <c r="C37" s="1">
        <v>0.65562670912205878</v>
      </c>
      <c r="D37" s="1">
        <v>0.55103853607758058</v>
      </c>
      <c r="E37" s="1">
        <v>0.94885192811887287</v>
      </c>
    </row>
    <row r="38" spans="1:5" x14ac:dyDescent="0.3">
      <c r="A38" s="1" t="s">
        <v>60</v>
      </c>
      <c r="B38" s="1">
        <v>0.24683125729473396</v>
      </c>
      <c r="C38" s="1">
        <v>0.23152673595955778</v>
      </c>
      <c r="D38" s="1">
        <v>0.25404184986441691</v>
      </c>
      <c r="E38" s="1">
        <v>0.2352973566523876</v>
      </c>
    </row>
    <row r="39" spans="1:5" x14ac:dyDescent="0.3">
      <c r="A39" s="1" t="s">
        <v>8</v>
      </c>
      <c r="B39" s="1">
        <v>0.34956626453080608</v>
      </c>
      <c r="C39" s="1">
        <v>0.3021286014805124</v>
      </c>
      <c r="D39" s="1">
        <v>0.35152936977916438</v>
      </c>
      <c r="E39" s="1">
        <v>0.28781249116118118</v>
      </c>
    </row>
    <row r="40" spans="1:5" x14ac:dyDescent="0.3">
      <c r="A40" s="1" t="s">
        <v>9</v>
      </c>
      <c r="B40" s="1">
        <v>0.82649435959036677</v>
      </c>
      <c r="C40" s="1">
        <v>1.3023118610453017</v>
      </c>
      <c r="D40" s="1">
        <v>1.0898884111375589</v>
      </c>
      <c r="E40" s="1">
        <v>1.6615081887259706</v>
      </c>
    </row>
    <row r="41" spans="1:5" x14ac:dyDescent="0.3">
      <c r="A41" s="1" t="s">
        <v>10</v>
      </c>
      <c r="B41" s="1">
        <v>0.2369081587600354</v>
      </c>
      <c r="C41" s="1">
        <v>0.30671416104074101</v>
      </c>
      <c r="D41" s="1">
        <v>0.20186432980609054</v>
      </c>
      <c r="E41" s="1">
        <v>0.23867448750440506</v>
      </c>
    </row>
    <row r="42" spans="1:5" x14ac:dyDescent="0.3">
      <c r="A42" s="1" t="s">
        <v>11</v>
      </c>
      <c r="B42" s="1">
        <v>1.5992994829957394</v>
      </c>
      <c r="C42" s="1">
        <v>2.5565636401035774</v>
      </c>
      <c r="D42" s="1">
        <v>0.84191386905447319</v>
      </c>
      <c r="E42" s="1">
        <v>0.88578719510612114</v>
      </c>
    </row>
    <row r="43" spans="1:5" x14ac:dyDescent="0.3">
      <c r="A43" s="1" t="s">
        <v>12</v>
      </c>
      <c r="B43" s="1">
        <v>0.99802156373894302</v>
      </c>
      <c r="C43" s="1">
        <v>1.5545497700062894</v>
      </c>
      <c r="D43" s="1">
        <v>1.1909196601946015</v>
      </c>
      <c r="E43" s="1">
        <v>1.2055251691325044</v>
      </c>
    </row>
    <row r="44" spans="1:5" x14ac:dyDescent="0.3">
      <c r="A44" s="1" t="s">
        <v>61</v>
      </c>
      <c r="B44" s="1">
        <v>0.24516788022721547</v>
      </c>
      <c r="C44" s="1">
        <v>0.11973367529569069</v>
      </c>
      <c r="D44" s="1">
        <v>0.23116743975000878</v>
      </c>
      <c r="E44" s="1">
        <v>0.31928278716073294</v>
      </c>
    </row>
    <row r="45" spans="1:5" x14ac:dyDescent="0.3">
      <c r="A45" s="1" t="s">
        <v>13</v>
      </c>
      <c r="B45" s="1">
        <v>0.61232115626614236</v>
      </c>
      <c r="C45" s="1">
        <v>0.31578067239915536</v>
      </c>
      <c r="D45" s="1">
        <v>0.33042703124239908</v>
      </c>
      <c r="E45" s="1">
        <v>0.24186066438245668</v>
      </c>
    </row>
    <row r="46" spans="1:5" x14ac:dyDescent="0.3">
      <c r="A46" s="1" t="s">
        <v>62</v>
      </c>
      <c r="B46" s="1">
        <v>1.4051743615704055</v>
      </c>
      <c r="C46" s="1">
        <v>1.9213457884406318</v>
      </c>
      <c r="D46" s="1">
        <v>0.96135566843538833</v>
      </c>
      <c r="E46" s="1">
        <v>1.2455456673226464</v>
      </c>
    </row>
    <row r="47" spans="1:5" x14ac:dyDescent="0.3">
      <c r="A47" s="1" t="s">
        <v>14</v>
      </c>
      <c r="B47" s="1">
        <v>0.5486327373197738</v>
      </c>
      <c r="C47" s="1">
        <v>0.20798709920402955</v>
      </c>
      <c r="D47" s="1">
        <v>0.25452055650034477</v>
      </c>
      <c r="E47" s="1">
        <v>0.34308868811546006</v>
      </c>
    </row>
    <row r="48" spans="1:5" x14ac:dyDescent="0.3">
      <c r="A48" s="1" t="s">
        <v>15</v>
      </c>
      <c r="B48" s="1">
        <v>0.89844737888218962</v>
      </c>
      <c r="C48" s="1">
        <v>1.3911530501950775</v>
      </c>
      <c r="D48" s="1">
        <v>0.67602628268588549</v>
      </c>
      <c r="E48" s="1">
        <v>0.86093051659794007</v>
      </c>
    </row>
    <row r="49" spans="1:7" x14ac:dyDescent="0.3">
      <c r="A49" s="1" t="s">
        <v>16</v>
      </c>
      <c r="B49" s="1">
        <v>0.1290941092188633</v>
      </c>
      <c r="C49" s="1">
        <v>0.12824047744417516</v>
      </c>
      <c r="D49" s="1">
        <v>0.13046396763993198</v>
      </c>
      <c r="E49" s="1">
        <v>0.12981571912066403</v>
      </c>
    </row>
    <row r="52" spans="1:7" x14ac:dyDescent="0.3">
      <c r="A52" s="1" t="s">
        <v>59</v>
      </c>
      <c r="B52" t="s">
        <v>2</v>
      </c>
      <c r="C52" t="s">
        <v>4</v>
      </c>
      <c r="D52" s="1" t="s">
        <v>1</v>
      </c>
      <c r="E52" t="s">
        <v>3</v>
      </c>
      <c r="F52" t="s">
        <v>93</v>
      </c>
      <c r="G52" t="s">
        <v>94</v>
      </c>
    </row>
    <row r="53" spans="1:7" x14ac:dyDescent="0.3">
      <c r="A53" s="1" t="s">
        <v>5</v>
      </c>
      <c r="B53" s="16">
        <v>0.20169762419350315</v>
      </c>
      <c r="C53" s="16">
        <v>0.16323144740228401</v>
      </c>
      <c r="D53" s="16">
        <v>0.17003035482701248</v>
      </c>
      <c r="E53" s="16">
        <v>0.16398292202062828</v>
      </c>
      <c r="F53" s="13">
        <f>ABS(B53-C53)</f>
        <v>3.8466176791219137E-2</v>
      </c>
      <c r="G53" s="13">
        <f>ABS(D53-E53)</f>
        <v>6.0474328063842009E-3</v>
      </c>
    </row>
    <row r="54" spans="1:7" x14ac:dyDescent="0.3">
      <c r="A54" s="1" t="s">
        <v>6</v>
      </c>
      <c r="B54" s="16">
        <v>1.6768486409669303</v>
      </c>
      <c r="C54" s="16">
        <v>2.02107429357046</v>
      </c>
      <c r="D54" s="16">
        <v>0.97271855399742901</v>
      </c>
      <c r="E54" s="16">
        <v>1.460232626002737</v>
      </c>
      <c r="F54" s="13">
        <f t="shared" ref="F54:F67" si="6">ABS(B54-C54)</f>
        <v>0.34422565260352966</v>
      </c>
      <c r="G54" s="13">
        <f t="shared" ref="G54:G67" si="7">ABS(D54-E54)</f>
        <v>0.48751407200530794</v>
      </c>
    </row>
    <row r="55" spans="1:7" x14ac:dyDescent="0.3">
      <c r="A55" s="1" t="s">
        <v>7</v>
      </c>
      <c r="B55" s="16">
        <v>0.65562670912205878</v>
      </c>
      <c r="C55" s="16">
        <v>0.94885192811887287</v>
      </c>
      <c r="D55" s="16">
        <v>0.82773199953272192</v>
      </c>
      <c r="E55" s="16">
        <v>0.55103853607758058</v>
      </c>
      <c r="F55" s="13">
        <f t="shared" si="6"/>
        <v>0.29322521899681409</v>
      </c>
      <c r="G55" s="13">
        <f t="shared" si="7"/>
        <v>0.27669346345514134</v>
      </c>
    </row>
    <row r="56" spans="1:7" x14ac:dyDescent="0.3">
      <c r="A56" s="1" t="s">
        <v>60</v>
      </c>
      <c r="B56" s="16">
        <v>0.23152673595955778</v>
      </c>
      <c r="C56" s="16">
        <v>0.2352973566523876</v>
      </c>
      <c r="D56" s="16">
        <v>0.24683125729473396</v>
      </c>
      <c r="E56" s="16">
        <v>0.25404184986441691</v>
      </c>
      <c r="F56" s="13">
        <f t="shared" si="6"/>
        <v>3.7706206928298236E-3</v>
      </c>
      <c r="G56" s="13">
        <f t="shared" si="7"/>
        <v>7.2105925696829554E-3</v>
      </c>
    </row>
    <row r="57" spans="1:7" x14ac:dyDescent="0.3">
      <c r="A57" s="1" t="s">
        <v>8</v>
      </c>
      <c r="B57" s="16">
        <v>0.3021286014805124</v>
      </c>
      <c r="C57" s="16">
        <v>0.28781249116118118</v>
      </c>
      <c r="D57" s="16">
        <v>0.34956626453080608</v>
      </c>
      <c r="E57" s="16">
        <v>0.35152936977916438</v>
      </c>
      <c r="F57" s="13">
        <f t="shared" si="6"/>
        <v>1.4316110319331221E-2</v>
      </c>
      <c r="G57" s="13">
        <f t="shared" si="7"/>
        <v>1.9631052483582989E-3</v>
      </c>
    </row>
    <row r="58" spans="1:7" x14ac:dyDescent="0.3">
      <c r="A58" s="1" t="s">
        <v>9</v>
      </c>
      <c r="B58" s="16">
        <v>1.3023118610453017</v>
      </c>
      <c r="C58" s="16">
        <v>1.6615081887259706</v>
      </c>
      <c r="D58" s="16">
        <v>0.82649435959036677</v>
      </c>
      <c r="E58" s="16">
        <v>1.0898884111375589</v>
      </c>
      <c r="F58" s="13">
        <f t="shared" si="6"/>
        <v>0.35919632768066889</v>
      </c>
      <c r="G58" s="13">
        <f t="shared" si="7"/>
        <v>0.26339405154719209</v>
      </c>
    </row>
    <row r="59" spans="1:7" x14ac:dyDescent="0.3">
      <c r="A59" s="1" t="s">
        <v>10</v>
      </c>
      <c r="B59" s="16">
        <v>0.30671416104074101</v>
      </c>
      <c r="C59" s="16">
        <v>0.23867448750440506</v>
      </c>
      <c r="D59" s="16">
        <v>0.2369081587600354</v>
      </c>
      <c r="E59" s="16">
        <v>0.20186432980609054</v>
      </c>
      <c r="F59" s="13">
        <f t="shared" si="6"/>
        <v>6.8039673536335943E-2</v>
      </c>
      <c r="G59" s="13">
        <f t="shared" si="7"/>
        <v>3.5043828953944867E-2</v>
      </c>
    </row>
    <row r="60" spans="1:7" x14ac:dyDescent="0.3">
      <c r="A60" s="1" t="s">
        <v>11</v>
      </c>
      <c r="B60" s="16">
        <v>2.5565636401035774</v>
      </c>
      <c r="C60" s="16">
        <v>0.88578719510612114</v>
      </c>
      <c r="D60" s="16">
        <v>1.5992994829957394</v>
      </c>
      <c r="E60" s="16">
        <v>0.84191386905447319</v>
      </c>
      <c r="F60" s="13">
        <f t="shared" si="6"/>
        <v>1.6707764449974563</v>
      </c>
      <c r="G60" s="13">
        <f t="shared" si="7"/>
        <v>0.75738561394126624</v>
      </c>
    </row>
    <row r="61" spans="1:7" x14ac:dyDescent="0.3">
      <c r="A61" s="1" t="s">
        <v>12</v>
      </c>
      <c r="B61" s="16">
        <v>1.5545497700062894</v>
      </c>
      <c r="C61" s="16">
        <v>1.2055251691325044</v>
      </c>
      <c r="D61" s="16">
        <v>0.99802156373894302</v>
      </c>
      <c r="E61" s="16">
        <v>1.1909196601946015</v>
      </c>
      <c r="F61" s="13">
        <f t="shared" si="6"/>
        <v>0.34902460087378495</v>
      </c>
      <c r="G61" s="13">
        <f t="shared" si="7"/>
        <v>0.19289809645565847</v>
      </c>
    </row>
    <row r="62" spans="1:7" x14ac:dyDescent="0.3">
      <c r="A62" s="1" t="s">
        <v>61</v>
      </c>
      <c r="B62" s="16">
        <v>0.11973367529569069</v>
      </c>
      <c r="C62" s="16">
        <v>0.31928278716073294</v>
      </c>
      <c r="D62" s="16">
        <v>0.24516788022721547</v>
      </c>
      <c r="E62" s="16">
        <v>0.23116743975000878</v>
      </c>
      <c r="F62" s="13">
        <f t="shared" si="6"/>
        <v>0.19954911186504226</v>
      </c>
      <c r="G62" s="13">
        <f t="shared" si="7"/>
        <v>1.4000440477206694E-2</v>
      </c>
    </row>
    <row r="63" spans="1:7" x14ac:dyDescent="0.3">
      <c r="A63" s="1" t="s">
        <v>13</v>
      </c>
      <c r="B63" s="16">
        <v>0.31578067239915536</v>
      </c>
      <c r="C63" s="16">
        <v>0.24186066438245668</v>
      </c>
      <c r="D63" s="16">
        <v>0.61232115626614236</v>
      </c>
      <c r="E63" s="16">
        <v>0.33042703124239908</v>
      </c>
      <c r="F63" s="13">
        <f t="shared" si="6"/>
        <v>7.3920008016698679E-2</v>
      </c>
      <c r="G63" s="13">
        <f t="shared" si="7"/>
        <v>0.28189412502374328</v>
      </c>
    </row>
    <row r="64" spans="1:7" x14ac:dyDescent="0.3">
      <c r="A64" s="1" t="s">
        <v>62</v>
      </c>
      <c r="B64" s="16">
        <v>1.9213457884406318</v>
      </c>
      <c r="C64" s="16">
        <v>1.2455456673226464</v>
      </c>
      <c r="D64" s="16">
        <v>1.4051743615704055</v>
      </c>
      <c r="E64" s="16">
        <v>0.96135566843538833</v>
      </c>
      <c r="F64" s="13">
        <f t="shared" si="6"/>
        <v>0.67580012111798538</v>
      </c>
      <c r="G64" s="13">
        <f t="shared" si="7"/>
        <v>0.44381869313501721</v>
      </c>
    </row>
    <row r="65" spans="1:7" x14ac:dyDescent="0.3">
      <c r="A65" s="1" t="s">
        <v>14</v>
      </c>
      <c r="B65" s="16">
        <v>0.20798709920402955</v>
      </c>
      <c r="C65" s="16">
        <v>0.34308868811546006</v>
      </c>
      <c r="D65" s="16">
        <v>0.5486327373197738</v>
      </c>
      <c r="E65" s="16">
        <v>0.25452055650034477</v>
      </c>
      <c r="F65" s="13">
        <f t="shared" si="6"/>
        <v>0.13510158891143051</v>
      </c>
      <c r="G65" s="13">
        <f t="shared" si="7"/>
        <v>0.29411218081942903</v>
      </c>
    </row>
    <row r="66" spans="1:7" x14ac:dyDescent="0.3">
      <c r="A66" s="1" t="s">
        <v>15</v>
      </c>
      <c r="B66" s="16">
        <v>1.3911530501950775</v>
      </c>
      <c r="C66" s="16">
        <v>0.86093051659794007</v>
      </c>
      <c r="D66" s="16">
        <v>0.89844737888218962</v>
      </c>
      <c r="E66" s="16">
        <v>0.67602628268588549</v>
      </c>
      <c r="F66" s="13">
        <f t="shared" si="6"/>
        <v>0.53022253359713745</v>
      </c>
      <c r="G66" s="13">
        <f t="shared" si="7"/>
        <v>0.22242109619630412</v>
      </c>
    </row>
    <row r="67" spans="1:7" x14ac:dyDescent="0.3">
      <c r="A67" s="1" t="s">
        <v>16</v>
      </c>
      <c r="B67" s="16">
        <v>0.12824047744417516</v>
      </c>
      <c r="C67" s="16">
        <v>0.12981571912066403</v>
      </c>
      <c r="D67" s="16">
        <v>0.1290941092188633</v>
      </c>
      <c r="E67" s="16">
        <v>0.13046396763993198</v>
      </c>
      <c r="F67" s="13">
        <f t="shared" si="6"/>
        <v>1.5752416764888699E-3</v>
      </c>
      <c r="G67" s="13">
        <f t="shared" si="7"/>
        <v>1.3698584210686815E-3</v>
      </c>
    </row>
    <row r="69" spans="1:7" x14ac:dyDescent="0.3">
      <c r="E69" t="s">
        <v>90</v>
      </c>
      <c r="F69">
        <f>AVERAGE(F53:F67)</f>
        <v>0.31714729544511683</v>
      </c>
      <c r="G69">
        <f>AVERAGE(G53:G67)</f>
        <v>0.21905111007038033</v>
      </c>
    </row>
    <row r="70" spans="1:7" x14ac:dyDescent="0.3">
      <c r="E70" t="s">
        <v>92</v>
      </c>
      <c r="F70">
        <f>SUM(F53:F67)</f>
        <v>4.7572094316767526</v>
      </c>
      <c r="G70">
        <f>SUM(G53:G67)</f>
        <v>3.2857666510557051</v>
      </c>
    </row>
    <row r="71" spans="1:7" x14ac:dyDescent="0.3">
      <c r="E71" t="s">
        <v>91</v>
      </c>
      <c r="F71">
        <f>STDEV(F53:F67)</f>
        <v>0.42642862529089376</v>
      </c>
      <c r="G71">
        <f>STDEV(G53:G67)</f>
        <v>0.22178308364750318</v>
      </c>
    </row>
  </sheetData>
  <mergeCells count="6">
    <mergeCell ref="A33:E33"/>
    <mergeCell ref="A1:E1"/>
    <mergeCell ref="G1:H1"/>
    <mergeCell ref="I1:J1"/>
    <mergeCell ref="G19:H19"/>
    <mergeCell ref="I19:J19"/>
  </mergeCells>
  <conditionalFormatting sqref="F53:G67">
    <cfRule type="colorScale" priority="1">
      <colorScale>
        <cfvo type="min"/>
        <cfvo type="max"/>
        <color theme="0"/>
        <color theme="9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0B96-9C43-4CC2-9923-0CA4A3B6F189}">
  <dimension ref="A1:F38"/>
  <sheetViews>
    <sheetView topLeftCell="A13" zoomScale="76" workbookViewId="0">
      <selection activeCell="A22" sqref="A22:F38"/>
    </sheetView>
  </sheetViews>
  <sheetFormatPr defaultRowHeight="14.4" x14ac:dyDescent="0.3"/>
  <cols>
    <col min="1" max="1" width="7.109375" bestFit="1" customWidth="1"/>
    <col min="2" max="2" width="13.6640625" customWidth="1"/>
    <col min="3" max="3" width="16.88671875" bestFit="1" customWidth="1"/>
    <col min="4" max="4" width="18.77734375" bestFit="1" customWidth="1"/>
    <col min="5" max="5" width="22.33203125" bestFit="1" customWidth="1"/>
    <col min="6" max="6" width="24.109375" bestFit="1" customWidth="1"/>
    <col min="7" max="7" width="12" bestFit="1" customWidth="1"/>
    <col min="8" max="8" width="95.44140625" bestFit="1" customWidth="1"/>
    <col min="9" max="9" width="7.44140625" bestFit="1" customWidth="1"/>
    <col min="10" max="10" width="12.6640625" bestFit="1" customWidth="1"/>
    <col min="11" max="11" width="7.44140625" bestFit="1" customWidth="1"/>
    <col min="12" max="12" width="12.6640625" bestFit="1" customWidth="1"/>
  </cols>
  <sheetData>
    <row r="1" spans="1:6" x14ac:dyDescent="0.3">
      <c r="A1" s="19" t="s">
        <v>71</v>
      </c>
      <c r="B1" s="19"/>
      <c r="C1" s="19"/>
      <c r="D1" s="19"/>
      <c r="E1" s="19"/>
      <c r="F1" s="19"/>
    </row>
    <row r="2" spans="1:6" x14ac:dyDescent="0.3">
      <c r="A2" t="s">
        <v>59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</row>
    <row r="3" spans="1:6" x14ac:dyDescent="0.3">
      <c r="A3" t="s">
        <v>5</v>
      </c>
      <c r="B3" s="13">
        <v>0.20169762399999999</v>
      </c>
      <c r="C3" s="13">
        <v>0.163231447</v>
      </c>
      <c r="D3" s="13">
        <v>0.17352261899999999</v>
      </c>
      <c r="E3" s="14">
        <f>(B3-C3)^2</f>
        <v>1.4796467729953282E-3</v>
      </c>
      <c r="F3" s="14">
        <f>(B3-D3)^2</f>
        <v>7.9383090675002514E-4</v>
      </c>
    </row>
    <row r="4" spans="1:6" x14ac:dyDescent="0.3">
      <c r="A4" t="s">
        <v>6</v>
      </c>
      <c r="B4" s="13">
        <v>1.6768486410000001</v>
      </c>
      <c r="C4" s="13">
        <v>2.0210742939999999</v>
      </c>
      <c r="D4" s="13">
        <v>1.621696676</v>
      </c>
      <c r="E4" s="13">
        <f t="shared" ref="E4:E17" si="0">(B4-C4)^2</f>
        <v>0.1184913001832763</v>
      </c>
      <c r="F4" s="14">
        <f t="shared" ref="F4:F17" si="1">(B4-D4)^2</f>
        <v>3.0417392433612338E-3</v>
      </c>
    </row>
    <row r="5" spans="1:6" x14ac:dyDescent="0.3">
      <c r="A5" t="s">
        <v>7</v>
      </c>
      <c r="B5" s="13">
        <v>0.65562670899999997</v>
      </c>
      <c r="C5" s="13">
        <v>0.94885192799999996</v>
      </c>
      <c r="D5" s="13">
        <v>0.86752941900000002</v>
      </c>
      <c r="E5" s="14">
        <f t="shared" si="0"/>
        <v>8.5981029057597955E-2</v>
      </c>
      <c r="F5" s="14">
        <f t="shared" si="1"/>
        <v>4.4902758505344122E-2</v>
      </c>
    </row>
    <row r="6" spans="1:6" x14ac:dyDescent="0.3">
      <c r="A6" t="s">
        <v>60</v>
      </c>
      <c r="B6" s="13">
        <v>0.23152673600000001</v>
      </c>
      <c r="C6" s="13">
        <v>0.23529735700000001</v>
      </c>
      <c r="D6" s="13">
        <v>0.23330434899999999</v>
      </c>
      <c r="E6" s="14">
        <f t="shared" si="0"/>
        <v>1.4217582725641013E-5</v>
      </c>
      <c r="F6" s="14">
        <f t="shared" si="1"/>
        <v>3.1599079777689412E-6</v>
      </c>
    </row>
    <row r="7" spans="1:6" x14ac:dyDescent="0.3">
      <c r="A7" t="s">
        <v>8</v>
      </c>
      <c r="B7" s="13">
        <v>0.302128601</v>
      </c>
      <c r="C7" s="13">
        <v>0.287812491</v>
      </c>
      <c r="D7" s="13">
        <v>0.31483837199999998</v>
      </c>
      <c r="E7" s="14">
        <f t="shared" si="0"/>
        <v>2.049510055320998E-4</v>
      </c>
      <c r="F7" s="14">
        <f t="shared" si="1"/>
        <v>1.6153827887244052E-4</v>
      </c>
    </row>
    <row r="8" spans="1:6" x14ac:dyDescent="0.3">
      <c r="A8" t="s">
        <v>9</v>
      </c>
      <c r="B8" s="13">
        <v>1.3023118611</v>
      </c>
      <c r="C8" s="13">
        <v>1.6615081890000001</v>
      </c>
      <c r="D8" s="13">
        <v>1.7117836870000001</v>
      </c>
      <c r="E8" s="13">
        <f t="shared" si="0"/>
        <v>0.12902200197684441</v>
      </c>
      <c r="F8" s="13">
        <f t="shared" si="1"/>
        <v>0.16766717620587998</v>
      </c>
    </row>
    <row r="9" spans="1:6" x14ac:dyDescent="0.3">
      <c r="A9" t="s">
        <v>10</v>
      </c>
      <c r="B9" s="13">
        <v>0.30671416099999999</v>
      </c>
      <c r="C9" s="13">
        <v>0.23867448799999999</v>
      </c>
      <c r="D9" s="13">
        <v>0.25718796900000002</v>
      </c>
      <c r="E9" s="14">
        <f t="shared" si="0"/>
        <v>4.6293971019469287E-3</v>
      </c>
      <c r="F9" s="14">
        <f t="shared" si="1"/>
        <v>2.4528436940208609E-3</v>
      </c>
    </row>
    <row r="10" spans="1:6" x14ac:dyDescent="0.3">
      <c r="A10" t="s">
        <v>11</v>
      </c>
      <c r="B10" s="13">
        <v>2.5565636399999998</v>
      </c>
      <c r="C10" s="13">
        <v>0.88578719500000003</v>
      </c>
      <c r="D10" s="13">
        <v>1.1708445089999999</v>
      </c>
      <c r="E10" s="13">
        <f t="shared" si="0"/>
        <v>2.7914939291668373</v>
      </c>
      <c r="F10" s="13">
        <f t="shared" si="1"/>
        <v>1.9202175100193948</v>
      </c>
    </row>
    <row r="11" spans="1:6" x14ac:dyDescent="0.3">
      <c r="A11" t="s">
        <v>12</v>
      </c>
      <c r="B11" s="13">
        <v>1.5545497699999999</v>
      </c>
      <c r="C11" s="13">
        <v>1.205525169</v>
      </c>
      <c r="D11" s="13">
        <v>1.993220097</v>
      </c>
      <c r="E11" s="13">
        <f t="shared" si="0"/>
        <v>0.12181817210320919</v>
      </c>
      <c r="F11" s="13">
        <f t="shared" si="1"/>
        <v>0.19243165579028701</v>
      </c>
    </row>
    <row r="12" spans="1:6" x14ac:dyDescent="0.3">
      <c r="A12" t="s">
        <v>61</v>
      </c>
      <c r="B12" s="13">
        <v>0.119733675</v>
      </c>
      <c r="C12" s="13">
        <v>0.31928278700000001</v>
      </c>
      <c r="D12" s="13">
        <v>0.33248271699999998</v>
      </c>
      <c r="E12" s="14">
        <f t="shared" si="0"/>
        <v>3.9819848099988557E-2</v>
      </c>
      <c r="F12" s="14">
        <f t="shared" si="1"/>
        <v>4.5262154871917766E-2</v>
      </c>
    </row>
    <row r="13" spans="1:6" x14ac:dyDescent="0.3">
      <c r="A13" t="s">
        <v>13</v>
      </c>
      <c r="B13" s="13">
        <v>0.31578067199999998</v>
      </c>
      <c r="C13" s="13">
        <v>0.241860664</v>
      </c>
      <c r="D13" s="13">
        <v>0.25106965399999998</v>
      </c>
      <c r="E13" s="14">
        <f t="shared" si="0"/>
        <v>5.4641675827200612E-3</v>
      </c>
      <c r="F13" s="14">
        <f t="shared" si="1"/>
        <v>4.1875158505963253E-3</v>
      </c>
    </row>
    <row r="14" spans="1:6" x14ac:dyDescent="0.3">
      <c r="A14" t="s">
        <v>65</v>
      </c>
      <c r="B14" s="13">
        <v>1.921345788</v>
      </c>
      <c r="C14" s="13">
        <v>1.245545667</v>
      </c>
      <c r="D14" s="13">
        <v>0.92095522799999996</v>
      </c>
      <c r="E14" s="13">
        <f t="shared" si="0"/>
        <v>0.45670580354361462</v>
      </c>
      <c r="F14" s="13">
        <f t="shared" si="1"/>
        <v>1.0007812725371137</v>
      </c>
    </row>
    <row r="15" spans="1:6" x14ac:dyDescent="0.3">
      <c r="A15" t="s">
        <v>14</v>
      </c>
      <c r="B15" s="13">
        <v>0.20798709900000001</v>
      </c>
      <c r="C15" s="13">
        <v>0.34308868799999998</v>
      </c>
      <c r="D15" s="13">
        <v>0.149631187</v>
      </c>
      <c r="E15" s="14">
        <f t="shared" si="0"/>
        <v>1.825243935032491E-2</v>
      </c>
      <c r="F15" s="14">
        <f t="shared" si="1"/>
        <v>3.405412465351745E-3</v>
      </c>
    </row>
    <row r="16" spans="1:6" x14ac:dyDescent="0.3">
      <c r="A16" t="s">
        <v>15</v>
      </c>
      <c r="B16" s="13">
        <v>1.39115305</v>
      </c>
      <c r="C16" s="13">
        <v>0.86093051700000001</v>
      </c>
      <c r="D16" s="13">
        <v>0.72725305799999995</v>
      </c>
      <c r="E16" s="13">
        <f t="shared" si="0"/>
        <v>0.2811359345009361</v>
      </c>
      <c r="F16" s="13">
        <f t="shared" si="1"/>
        <v>0.44076319937760011</v>
      </c>
    </row>
    <row r="17" spans="1:6" x14ac:dyDescent="0.3">
      <c r="A17" t="s">
        <v>16</v>
      </c>
      <c r="B17" s="13">
        <v>0.12824047699999999</v>
      </c>
      <c r="C17" s="13">
        <v>0.129815719</v>
      </c>
      <c r="D17" s="13">
        <v>0.12989657199999999</v>
      </c>
      <c r="E17" s="14">
        <f t="shared" si="0"/>
        <v>2.481387358564014E-6</v>
      </c>
      <c r="F17" s="14">
        <f t="shared" si="1"/>
        <v>2.7426506490249879E-6</v>
      </c>
    </row>
    <row r="18" spans="1:6" x14ac:dyDescent="0.3">
      <c r="A18" t="s">
        <v>72</v>
      </c>
      <c r="B18" s="13">
        <f t="shared" ref="B18:D18" si="2">SUM(B3:B17)</f>
        <v>12.872208504100001</v>
      </c>
      <c r="C18" s="13">
        <f t="shared" si="2"/>
        <v>10.788286599999998</v>
      </c>
      <c r="D18" s="13">
        <f t="shared" si="2"/>
        <v>10.855216113000003</v>
      </c>
      <c r="E18" s="13">
        <f>SUM(E3:E17)</f>
        <v>4.0545153194159083</v>
      </c>
      <c r="F18" s="13">
        <f>SUM(F3:F17)</f>
        <v>3.8260745103051166</v>
      </c>
    </row>
    <row r="22" spans="1:6" x14ac:dyDescent="0.3">
      <c r="A22" t="s">
        <v>59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</row>
    <row r="23" spans="1:6" x14ac:dyDescent="0.3">
      <c r="A23" t="s">
        <v>5</v>
      </c>
      <c r="B23">
        <v>0.89850744000000005</v>
      </c>
      <c r="C23">
        <v>0.60036895000000001</v>
      </c>
      <c r="D23">
        <v>0.67337399600000003</v>
      </c>
      <c r="E23" s="13">
        <f>(B23-C23)^2</f>
        <v>8.8886559219480119E-2</v>
      </c>
      <c r="F23" s="13">
        <f>(B23-D23)^2</f>
        <v>5.068506760730114E-2</v>
      </c>
    </row>
    <row r="24" spans="1:6" x14ac:dyDescent="0.3">
      <c r="A24" t="s">
        <v>6</v>
      </c>
      <c r="B24">
        <v>2.5822561639999999</v>
      </c>
      <c r="C24">
        <v>-1.772908181</v>
      </c>
      <c r="D24">
        <v>2.5578204449999999</v>
      </c>
      <c r="E24" s="13">
        <f t="shared" ref="E24:E37" si="3">(B24-C24)^2</f>
        <v>18.967456471959281</v>
      </c>
      <c r="F24" s="13">
        <f>(B24-D24)^2</f>
        <v>5.9710436304695935E-4</v>
      </c>
    </row>
    <row r="25" spans="1:6" x14ac:dyDescent="0.3">
      <c r="A25" t="s">
        <v>7</v>
      </c>
      <c r="B25">
        <v>-0.47809974300000002</v>
      </c>
      <c r="C25">
        <v>2.3614657330000002</v>
      </c>
      <c r="D25">
        <v>2.2835208319999998</v>
      </c>
      <c r="E25" s="13">
        <f t="shared" si="3"/>
        <v>8.0631320924911076</v>
      </c>
      <c r="F25" s="13">
        <f t="shared" ref="F25:F37" si="4">(B25-D25)^2</f>
        <v>7.6265482002633291</v>
      </c>
    </row>
    <row r="26" spans="1:6" x14ac:dyDescent="0.3">
      <c r="A26" t="s">
        <v>60</v>
      </c>
      <c r="B26">
        <v>0</v>
      </c>
      <c r="C26">
        <v>0</v>
      </c>
      <c r="D26">
        <v>0</v>
      </c>
      <c r="E26" s="15">
        <f t="shared" si="3"/>
        <v>0</v>
      </c>
      <c r="F26" s="15">
        <f t="shared" si="4"/>
        <v>0</v>
      </c>
    </row>
    <row r="27" spans="1:6" x14ac:dyDescent="0.3">
      <c r="A27" t="s">
        <v>8</v>
      </c>
      <c r="B27">
        <v>0.69387484700000002</v>
      </c>
      <c r="C27">
        <v>0.82059570100000001</v>
      </c>
      <c r="D27">
        <v>0.63026782100000001</v>
      </c>
      <c r="E27" s="13">
        <f t="shared" si="3"/>
        <v>1.6058174838489314E-2</v>
      </c>
      <c r="F27" s="13">
        <f t="shared" si="4"/>
        <v>4.0458537565646775E-3</v>
      </c>
    </row>
    <row r="28" spans="1:6" x14ac:dyDescent="0.3">
      <c r="A28" t="s">
        <v>9</v>
      </c>
      <c r="B28">
        <v>3.611196665</v>
      </c>
      <c r="C28">
        <v>0.76283655399999994</v>
      </c>
      <c r="D28">
        <v>0.58983843599999997</v>
      </c>
      <c r="E28" s="13">
        <f t="shared" si="3"/>
        <v>8.1131553219359311</v>
      </c>
      <c r="F28" s="13">
        <f t="shared" si="4"/>
        <v>9.128605547946016</v>
      </c>
    </row>
    <row r="29" spans="1:6" x14ac:dyDescent="0.3">
      <c r="A29" t="s">
        <v>10</v>
      </c>
      <c r="B29">
        <v>1.6462420090000001</v>
      </c>
      <c r="C29">
        <v>0.96757083399999999</v>
      </c>
      <c r="D29">
        <v>1.2838712699999999</v>
      </c>
      <c r="E29" s="13">
        <f t="shared" si="3"/>
        <v>0.46059456377588071</v>
      </c>
      <c r="F29" s="13">
        <f t="shared" si="4"/>
        <v>0.13131255248340623</v>
      </c>
    </row>
    <row r="30" spans="1:6" x14ac:dyDescent="0.3">
      <c r="A30" t="s">
        <v>11</v>
      </c>
      <c r="B30">
        <v>-1.461490951</v>
      </c>
      <c r="C30">
        <v>4.8043351779999997</v>
      </c>
      <c r="D30">
        <v>4.6890527420000003</v>
      </c>
      <c r="E30" s="13">
        <f t="shared" si="3"/>
        <v>39.260577078859122</v>
      </c>
      <c r="F30" s="13">
        <f t="shared" si="4"/>
        <v>37.82918771950208</v>
      </c>
    </row>
    <row r="31" spans="1:6" x14ac:dyDescent="0.3">
      <c r="A31" t="s">
        <v>12</v>
      </c>
      <c r="B31">
        <v>-0.29390942799999997</v>
      </c>
      <c r="C31">
        <v>1.0499761030000001</v>
      </c>
      <c r="D31">
        <v>-0.51327122999999997</v>
      </c>
      <c r="E31" s="13">
        <f t="shared" si="3"/>
        <v>1.8060283204311525</v>
      </c>
      <c r="F31" s="13">
        <f t="shared" si="4"/>
        <v>4.8119600176687205E-2</v>
      </c>
    </row>
    <row r="32" spans="1:6" x14ac:dyDescent="0.3">
      <c r="A32" t="s">
        <v>61</v>
      </c>
      <c r="B32">
        <v>-1.5957182620000001</v>
      </c>
      <c r="C32">
        <v>0.572047525</v>
      </c>
      <c r="D32">
        <v>0.64940401800000003</v>
      </c>
      <c r="E32" s="13">
        <f t="shared" si="3"/>
        <v>4.6992085072877297</v>
      </c>
      <c r="F32" s="13">
        <f t="shared" si="4"/>
        <v>5.0405740521524001</v>
      </c>
    </row>
    <row r="33" spans="1:6" x14ac:dyDescent="0.3">
      <c r="A33" t="s">
        <v>13</v>
      </c>
      <c r="B33">
        <v>-0.90186533300000005</v>
      </c>
      <c r="C33">
        <v>0.335382391</v>
      </c>
      <c r="D33">
        <v>-1.0784049E-2</v>
      </c>
      <c r="E33" s="13">
        <f t="shared" si="3"/>
        <v>1.53078193054318</v>
      </c>
      <c r="F33" s="13">
        <f t="shared" si="4"/>
        <v>0.7940258546950888</v>
      </c>
    </row>
    <row r="34" spans="1:6" x14ac:dyDescent="0.3">
      <c r="A34" t="s">
        <v>65</v>
      </c>
      <c r="B34">
        <v>-1.784410872</v>
      </c>
      <c r="C34">
        <v>-0.59023284399999998</v>
      </c>
      <c r="D34">
        <v>-0.45677226500000001</v>
      </c>
      <c r="E34" s="13">
        <f t="shared" si="3"/>
        <v>1.4260611625579689</v>
      </c>
      <c r="F34" s="13">
        <f t="shared" si="4"/>
        <v>1.7626242707969002</v>
      </c>
    </row>
    <row r="35" spans="1:6" x14ac:dyDescent="0.3">
      <c r="A35" t="s">
        <v>14</v>
      </c>
      <c r="B35">
        <v>-0.31354776000000001</v>
      </c>
      <c r="C35">
        <v>2.2863793480000001</v>
      </c>
      <c r="D35">
        <v>-0.57350573900000001</v>
      </c>
      <c r="E35" s="13">
        <f t="shared" si="3"/>
        <v>6.7596209669132445</v>
      </c>
      <c r="F35" s="13">
        <f t="shared" si="4"/>
        <v>6.7578150845764448E-2</v>
      </c>
    </row>
    <row r="36" spans="1:6" x14ac:dyDescent="0.3">
      <c r="A36" t="s">
        <v>15</v>
      </c>
      <c r="B36">
        <v>-0.44773411000000002</v>
      </c>
      <c r="C36">
        <v>2.0754773979999999</v>
      </c>
      <c r="D36">
        <v>1.5841158900000001</v>
      </c>
      <c r="E36" s="13">
        <f t="shared" si="3"/>
        <v>6.3665963141036324</v>
      </c>
      <c r="F36" s="13">
        <f t="shared" si="4"/>
        <v>4.1284144224999997</v>
      </c>
    </row>
    <row r="37" spans="1:6" x14ac:dyDescent="0.3">
      <c r="A37" t="s">
        <v>16</v>
      </c>
      <c r="B37">
        <v>0</v>
      </c>
      <c r="C37">
        <v>0</v>
      </c>
      <c r="D37">
        <v>0</v>
      </c>
      <c r="E37" s="15">
        <f t="shared" si="3"/>
        <v>0</v>
      </c>
      <c r="F37" s="15">
        <f t="shared" si="4"/>
        <v>0</v>
      </c>
    </row>
    <row r="38" spans="1:6" x14ac:dyDescent="0.3">
      <c r="A38" t="s">
        <v>72</v>
      </c>
      <c r="B38" s="13" cm="1">
        <f t="array" ref="B38">SUM(ABS(B23:B37))</f>
        <v>16.708853583999996</v>
      </c>
      <c r="C38" s="13" cm="1">
        <f t="array" ref="C38">SUM(ABS(C23:C37))</f>
        <v>18.999576740000002</v>
      </c>
      <c r="D38" s="13" cm="1">
        <f t="array" ref="D38">SUM(ABS(D23:D37))</f>
        <v>16.495598733000001</v>
      </c>
      <c r="E38" s="13">
        <f>SUM(E23:E37)</f>
        <v>97.558157464916206</v>
      </c>
      <c r="F38" s="13">
        <f>SUM(F23:F37)</f>
        <v>66.612318397088572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E5C8-F865-4E7B-9150-88C9C8EE00B2}">
  <dimension ref="A1:J53"/>
  <sheetViews>
    <sheetView topLeftCell="B29" workbookViewId="0">
      <selection activeCell="E54" sqref="E54"/>
    </sheetView>
  </sheetViews>
  <sheetFormatPr defaultRowHeight="14.4" x14ac:dyDescent="0.3"/>
  <cols>
    <col min="1" max="1" width="6.21875" bestFit="1" customWidth="1"/>
    <col min="2" max="4" width="16.33203125" bestFit="1" customWidth="1"/>
    <col min="5" max="5" width="16.5546875" bestFit="1" customWidth="1"/>
    <col min="6" max="6" width="9.44140625" bestFit="1" customWidth="1"/>
    <col min="7" max="7" width="26.109375" bestFit="1" customWidth="1"/>
    <col min="8" max="8" width="31.6640625" bestFit="1" customWidth="1"/>
    <col min="9" max="9" width="27.6640625" bestFit="1" customWidth="1"/>
    <col min="10" max="10" width="29.77734375" bestFit="1" customWidth="1"/>
  </cols>
  <sheetData>
    <row r="1" spans="1:10" x14ac:dyDescent="0.3">
      <c r="A1" s="18" t="s">
        <v>17</v>
      </c>
      <c r="B1" s="19"/>
      <c r="C1" s="19"/>
      <c r="D1" s="19"/>
      <c r="E1" s="19"/>
      <c r="G1" s="18" t="s">
        <v>20</v>
      </c>
      <c r="H1" s="18"/>
      <c r="I1" s="18" t="s">
        <v>21</v>
      </c>
      <c r="J1" s="18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18</v>
      </c>
      <c r="H2" t="s">
        <v>19</v>
      </c>
      <c r="I2" t="s">
        <v>22</v>
      </c>
      <c r="J2" t="s">
        <v>23</v>
      </c>
    </row>
    <row r="3" spans="1:10" x14ac:dyDescent="0.3">
      <c r="A3" s="2" t="s">
        <v>5</v>
      </c>
      <c r="B3" s="2">
        <v>0.61126250355669598</v>
      </c>
      <c r="C3" s="2">
        <v>0.89850744046081854</v>
      </c>
      <c r="D3" s="2">
        <v>0.60663264355205981</v>
      </c>
      <c r="E3" s="2">
        <v>0.60036894986034872</v>
      </c>
      <c r="G3">
        <f>ABS(B3-C3)</f>
        <v>0.28724493690412256</v>
      </c>
      <c r="H3">
        <f>ABS(D3-E3)</f>
        <v>6.2636936917110919E-3</v>
      </c>
      <c r="I3">
        <f>ABS(B3-D3)</f>
        <v>4.629860004636166E-3</v>
      </c>
      <c r="J3">
        <f>ABS(C3-E3)</f>
        <v>0.29813849060046982</v>
      </c>
    </row>
    <row r="4" spans="1:10" x14ac:dyDescent="0.3">
      <c r="A4" s="2" t="s">
        <v>6</v>
      </c>
      <c r="B4" s="2">
        <v>1.2074589798612114</v>
      </c>
      <c r="C4" s="2">
        <v>2.5822561643502562</v>
      </c>
      <c r="D4" s="2">
        <v>-1.12120729347552</v>
      </c>
      <c r="E4" s="2">
        <v>-1.7729081808693858</v>
      </c>
      <c r="G4">
        <f t="shared" ref="G4:G17" si="0">ABS(B4-C4)</f>
        <v>1.3747971844890448</v>
      </c>
      <c r="H4">
        <f t="shared" ref="H4:H17" si="1">ABS(D4-E4)</f>
        <v>0.65170088739386589</v>
      </c>
      <c r="I4">
        <f t="shared" ref="I4:I17" si="2">ABS(B4-D4)</f>
        <v>2.3286662733367312</v>
      </c>
      <c r="J4">
        <f t="shared" ref="J4:J17" si="3">ABS(C4-E4)</f>
        <v>4.3551643452196416</v>
      </c>
    </row>
    <row r="5" spans="1:10" x14ac:dyDescent="0.3">
      <c r="A5" s="2" t="s">
        <v>7</v>
      </c>
      <c r="B5" s="2">
        <v>0.25597263254461933</v>
      </c>
      <c r="C5" s="2">
        <v>-0.47809974269974775</v>
      </c>
      <c r="D5" s="2">
        <v>1.0159316711167174</v>
      </c>
      <c r="E5" s="2">
        <v>2.3614657230487803</v>
      </c>
      <c r="G5">
        <f t="shared" si="0"/>
        <v>0.73407237524436708</v>
      </c>
      <c r="H5">
        <f t="shared" si="1"/>
        <v>1.3455340519320629</v>
      </c>
      <c r="I5">
        <f t="shared" si="2"/>
        <v>0.75995903857209812</v>
      </c>
      <c r="J5">
        <f t="shared" si="3"/>
        <v>2.8395654657485281</v>
      </c>
    </row>
    <row r="6" spans="1:10" x14ac:dyDescent="0.3">
      <c r="A6" s="2" t="s">
        <v>60</v>
      </c>
      <c r="B6" s="2">
        <v>0</v>
      </c>
      <c r="C6" s="2">
        <v>0</v>
      </c>
      <c r="D6" s="2">
        <v>0</v>
      </c>
      <c r="E6" s="2">
        <v>0</v>
      </c>
      <c r="G6">
        <f t="shared" si="0"/>
        <v>0</v>
      </c>
      <c r="H6">
        <f t="shared" si="1"/>
        <v>0</v>
      </c>
      <c r="I6">
        <f t="shared" si="2"/>
        <v>0</v>
      </c>
      <c r="J6">
        <f t="shared" si="3"/>
        <v>0</v>
      </c>
    </row>
    <row r="7" spans="1:10" x14ac:dyDescent="0.3">
      <c r="A7" s="2" t="s">
        <v>8</v>
      </c>
      <c r="B7" s="2">
        <v>0.41530289730714942</v>
      </c>
      <c r="C7" s="2">
        <v>0.69387484713008574</v>
      </c>
      <c r="D7" s="2">
        <v>0.44081112879797751</v>
      </c>
      <c r="E7" s="2">
        <v>0.82059570118394032</v>
      </c>
      <c r="G7">
        <f t="shared" si="0"/>
        <v>0.27857194982293632</v>
      </c>
      <c r="H7">
        <f t="shared" si="1"/>
        <v>0.3797845723859628</v>
      </c>
      <c r="I7">
        <f t="shared" si="2"/>
        <v>2.5508231490828093E-2</v>
      </c>
      <c r="J7">
        <f t="shared" si="3"/>
        <v>0.12672085405385458</v>
      </c>
    </row>
    <row r="8" spans="1:10" x14ac:dyDescent="0.3">
      <c r="A8" s="2" t="s">
        <v>9</v>
      </c>
      <c r="B8" s="6">
        <v>0.48143079345884005</v>
      </c>
      <c r="C8" s="6">
        <v>3.6111966650086016</v>
      </c>
      <c r="D8" s="6">
        <v>-1.7642924695846433E-2</v>
      </c>
      <c r="E8" s="6">
        <v>0.76283655367148173</v>
      </c>
      <c r="G8" s="7">
        <f t="shared" si="0"/>
        <v>3.1297658715497616</v>
      </c>
      <c r="H8">
        <f t="shared" si="1"/>
        <v>0.78047947836732812</v>
      </c>
      <c r="I8">
        <f t="shared" si="2"/>
        <v>0.49907371815468649</v>
      </c>
      <c r="J8">
        <f t="shared" si="3"/>
        <v>2.84836011133712</v>
      </c>
    </row>
    <row r="9" spans="1:10" x14ac:dyDescent="0.3">
      <c r="A9" s="2" t="s">
        <v>10</v>
      </c>
      <c r="B9" s="2">
        <v>1.3148027296066065</v>
      </c>
      <c r="C9" s="2">
        <v>1.6462420086290139</v>
      </c>
      <c r="D9" s="2">
        <v>0.68866885804196054</v>
      </c>
      <c r="E9" s="2">
        <v>0.96757083424590318</v>
      </c>
      <c r="G9">
        <f t="shared" si="0"/>
        <v>0.33143927902240744</v>
      </c>
      <c r="H9">
        <f t="shared" si="1"/>
        <v>0.27890197620394264</v>
      </c>
      <c r="I9">
        <f t="shared" si="2"/>
        <v>0.62613387156464595</v>
      </c>
      <c r="J9">
        <f t="shared" si="3"/>
        <v>0.67867117438311075</v>
      </c>
    </row>
    <row r="10" spans="1:10" x14ac:dyDescent="0.3">
      <c r="A10" s="2" t="s">
        <v>11</v>
      </c>
      <c r="B10" s="6">
        <v>-0.82094982733283905</v>
      </c>
      <c r="C10" s="6">
        <v>-1.4614909506841134</v>
      </c>
      <c r="D10" s="6">
        <v>3.2653139299967271</v>
      </c>
      <c r="E10" s="6">
        <v>4.804335178118321</v>
      </c>
      <c r="G10">
        <f t="shared" si="0"/>
        <v>0.64054112335127433</v>
      </c>
      <c r="H10" s="7">
        <f t="shared" si="1"/>
        <v>1.5390212481215939</v>
      </c>
      <c r="I10" s="7">
        <f t="shared" si="2"/>
        <v>4.0862637573295659</v>
      </c>
      <c r="J10" s="7">
        <f t="shared" si="3"/>
        <v>6.2658261288024342</v>
      </c>
    </row>
    <row r="11" spans="1:10" x14ac:dyDescent="0.3">
      <c r="A11" s="2" t="s">
        <v>12</v>
      </c>
      <c r="B11" s="2">
        <v>-0.36830606354225709</v>
      </c>
      <c r="C11" s="2">
        <v>-0.29390942840265133</v>
      </c>
      <c r="D11" s="2">
        <v>3.0744102603614848E-2</v>
      </c>
      <c r="E11" s="2">
        <v>1.0499761030674506</v>
      </c>
      <c r="G11">
        <f t="shared" si="0"/>
        <v>7.439663513960576E-2</v>
      </c>
      <c r="H11">
        <f t="shared" si="1"/>
        <v>1.0192320004638358</v>
      </c>
      <c r="I11">
        <f t="shared" si="2"/>
        <v>0.39905016614587197</v>
      </c>
      <c r="J11">
        <f t="shared" si="3"/>
        <v>1.3438855314701019</v>
      </c>
    </row>
    <row r="12" spans="1:10" x14ac:dyDescent="0.3">
      <c r="A12" s="2" t="s">
        <v>61</v>
      </c>
      <c r="B12" s="2">
        <v>0.22955752021710635</v>
      </c>
      <c r="C12" s="2">
        <v>-1.5957182619990407</v>
      </c>
      <c r="D12" s="2">
        <v>-3.3745620592087716E-2</v>
      </c>
      <c r="E12" s="2">
        <v>0.57204752512468826</v>
      </c>
      <c r="G12">
        <f t="shared" si="0"/>
        <v>1.8252757822161469</v>
      </c>
      <c r="H12">
        <f t="shared" si="1"/>
        <v>0.605793145716776</v>
      </c>
      <c r="I12">
        <f t="shared" si="2"/>
        <v>0.26330314080919404</v>
      </c>
      <c r="J12">
        <f t="shared" si="3"/>
        <v>2.167765787123729</v>
      </c>
    </row>
    <row r="13" spans="1:10" x14ac:dyDescent="0.3">
      <c r="A13" s="2" t="s">
        <v>13</v>
      </c>
      <c r="B13" s="2">
        <v>-5.6689647640364042E-2</v>
      </c>
      <c r="C13" s="2">
        <v>-0.90186533335980612</v>
      </c>
      <c r="D13" s="2">
        <v>-1.9428289573020948E-2</v>
      </c>
      <c r="E13" s="2">
        <v>0.33538239086575322</v>
      </c>
      <c r="G13">
        <f t="shared" si="0"/>
        <v>0.84517568571944213</v>
      </c>
      <c r="H13">
        <f t="shared" si="1"/>
        <v>0.35481068043877417</v>
      </c>
      <c r="I13">
        <f t="shared" si="2"/>
        <v>3.7261358067343098E-2</v>
      </c>
      <c r="J13">
        <f t="shared" si="3"/>
        <v>1.2372477242255593</v>
      </c>
    </row>
    <row r="14" spans="1:10" x14ac:dyDescent="0.3">
      <c r="A14" s="2" t="s">
        <v>62</v>
      </c>
      <c r="B14" s="2">
        <v>-0.89527796676276739</v>
      </c>
      <c r="C14" s="2">
        <v>-1.7844108724165049</v>
      </c>
      <c r="D14" s="2">
        <v>-0.38935257599130302</v>
      </c>
      <c r="E14" s="2">
        <v>-0.59023284438021439</v>
      </c>
      <c r="G14">
        <f t="shared" si="0"/>
        <v>0.88913290565373748</v>
      </c>
      <c r="H14">
        <f t="shared" si="1"/>
        <v>0.20088026838891138</v>
      </c>
      <c r="I14">
        <f t="shared" si="2"/>
        <v>0.50592539077146437</v>
      </c>
      <c r="J14">
        <f t="shared" si="3"/>
        <v>1.1941780280362906</v>
      </c>
    </row>
    <row r="15" spans="1:10" x14ac:dyDescent="0.3">
      <c r="A15" s="2" t="s">
        <v>14</v>
      </c>
      <c r="B15" s="2">
        <v>7.8743223152830832E-2</v>
      </c>
      <c r="C15" s="2">
        <v>-0.31354775998403028</v>
      </c>
      <c r="D15" s="2">
        <v>0.75756313247115104</v>
      </c>
      <c r="E15" s="2">
        <v>2.2863793483086958</v>
      </c>
      <c r="G15">
        <f t="shared" si="0"/>
        <v>0.39229098313686112</v>
      </c>
      <c r="H15">
        <f t="shared" si="1"/>
        <v>1.5288162158375447</v>
      </c>
      <c r="I15">
        <f t="shared" si="2"/>
        <v>0.67881990931832026</v>
      </c>
      <c r="J15">
        <f t="shared" si="3"/>
        <v>2.599927108292726</v>
      </c>
    </row>
    <row r="16" spans="1:10" x14ac:dyDescent="0.3">
      <c r="A16" s="2" t="s">
        <v>15</v>
      </c>
      <c r="B16" s="2">
        <v>0.1918794983499762</v>
      </c>
      <c r="C16" s="2">
        <v>-0.44773411002264529</v>
      </c>
      <c r="D16" s="2">
        <v>0.88984793362771375</v>
      </c>
      <c r="E16" s="2">
        <v>2.0754773976501508</v>
      </c>
      <c r="G16">
        <f t="shared" si="0"/>
        <v>0.63961360837262149</v>
      </c>
      <c r="H16">
        <f t="shared" si="1"/>
        <v>1.185629464022437</v>
      </c>
      <c r="I16">
        <f t="shared" si="2"/>
        <v>0.69796843527773755</v>
      </c>
      <c r="J16">
        <f t="shared" si="3"/>
        <v>2.5232115076727961</v>
      </c>
    </row>
    <row r="17" spans="1:10" x14ac:dyDescent="0.3">
      <c r="A17" s="2" t="s">
        <v>16</v>
      </c>
      <c r="B17" s="2">
        <v>0</v>
      </c>
      <c r="C17" s="2">
        <v>0</v>
      </c>
      <c r="D17" s="2">
        <v>0</v>
      </c>
      <c r="E17" s="2">
        <v>0</v>
      </c>
      <c r="G17">
        <f t="shared" si="0"/>
        <v>0</v>
      </c>
      <c r="H17">
        <f t="shared" si="1"/>
        <v>0</v>
      </c>
      <c r="I17">
        <f t="shared" si="2"/>
        <v>0</v>
      </c>
      <c r="J17">
        <f t="shared" si="3"/>
        <v>0</v>
      </c>
    </row>
    <row r="18" spans="1:10" x14ac:dyDescent="0.3">
      <c r="B18" s="2"/>
      <c r="D18" s="2"/>
      <c r="E18" s="2"/>
    </row>
    <row r="19" spans="1:10" x14ac:dyDescent="0.3">
      <c r="G19" s="18" t="s">
        <v>24</v>
      </c>
      <c r="H19" s="18"/>
      <c r="I19" s="18" t="s">
        <v>24</v>
      </c>
      <c r="J19" s="19"/>
    </row>
    <row r="20" spans="1:10" x14ac:dyDescent="0.3">
      <c r="F20" t="s">
        <v>25</v>
      </c>
      <c r="G20">
        <f>AVERAGE(G3:G18)</f>
        <v>0.76282122137482189</v>
      </c>
      <c r="H20">
        <f t="shared" ref="H20:J20" si="4">AVERAGE(H3:H18)</f>
        <v>0.65845651219764989</v>
      </c>
      <c r="I20">
        <f t="shared" si="4"/>
        <v>0.72750421005620824</v>
      </c>
      <c r="J20">
        <f t="shared" si="4"/>
        <v>1.8985774837977567</v>
      </c>
    </row>
    <row r="21" spans="1:10" x14ac:dyDescent="0.3">
      <c r="F21" t="s">
        <v>26</v>
      </c>
      <c r="G21">
        <f>MEDIAN((G3:G18))</f>
        <v>0.63961360837262149</v>
      </c>
      <c r="H21">
        <f t="shared" ref="H21:J21" si="5">MEDIAN(H3:H18)</f>
        <v>0.605793145716776</v>
      </c>
      <c r="I21">
        <f t="shared" si="5"/>
        <v>0.49907371815468649</v>
      </c>
      <c r="J21">
        <f t="shared" si="5"/>
        <v>1.3438855314701019</v>
      </c>
    </row>
    <row r="22" spans="1:10" x14ac:dyDescent="0.3">
      <c r="F22" t="s">
        <v>27</v>
      </c>
      <c r="G22" cm="1">
        <f t="array" ref="G22">MIN(ABS(G3:G18))</f>
        <v>0</v>
      </c>
      <c r="H22" cm="1">
        <f t="array" ref="H22">MIN(ABS(H3:H18))</f>
        <v>0</v>
      </c>
      <c r="I22" cm="1">
        <f t="array" ref="I22">MIN(ABS(I3:I18))</f>
        <v>0</v>
      </c>
      <c r="J22" cm="1">
        <f t="array" ref="J22">MIN(ABS(J3:J18))</f>
        <v>0</v>
      </c>
    </row>
    <row r="23" spans="1:10" x14ac:dyDescent="0.3">
      <c r="F23" t="s">
        <v>28</v>
      </c>
      <c r="G23" cm="1">
        <f t="array" ref="G23">MAX(ABS((G3:G18)))</f>
        <v>3.1297658715497616</v>
      </c>
      <c r="H23" cm="1">
        <f t="array" ref="H23">MAX(ABS((H3:H18)))</f>
        <v>1.5390212481215939</v>
      </c>
      <c r="I23" cm="1">
        <f t="array" ref="I23">MAX(ABS((I3:I18)))</f>
        <v>4.0862637573295659</v>
      </c>
      <c r="J23" cm="1">
        <f t="array" ref="J23">MAX(ABS((J3:J18)))</f>
        <v>6.2658261288024342</v>
      </c>
    </row>
    <row r="34" spans="1:7" x14ac:dyDescent="0.3">
      <c r="A34" t="s">
        <v>0</v>
      </c>
      <c r="B34" t="s">
        <v>2</v>
      </c>
      <c r="C34" t="s">
        <v>4</v>
      </c>
      <c r="D34" t="s">
        <v>1</v>
      </c>
      <c r="E34" t="s">
        <v>3</v>
      </c>
      <c r="F34" t="s">
        <v>93</v>
      </c>
      <c r="G34" t="s">
        <v>94</v>
      </c>
    </row>
    <row r="35" spans="1:7" x14ac:dyDescent="0.3">
      <c r="A35" s="2" t="s">
        <v>5</v>
      </c>
      <c r="B35" s="16">
        <v>0.89850744046081854</v>
      </c>
      <c r="C35" s="16">
        <v>0.60036894986034872</v>
      </c>
      <c r="D35" s="16">
        <v>0.61126250355669598</v>
      </c>
      <c r="E35" s="16">
        <v>0.60663264355205981</v>
      </c>
      <c r="F35" s="30">
        <f>ABS(B35-C35)</f>
        <v>0.29813849060046982</v>
      </c>
      <c r="G35" s="30">
        <f>ABS(D35-E35)</f>
        <v>4.629860004636166E-3</v>
      </c>
    </row>
    <row r="36" spans="1:7" x14ac:dyDescent="0.3">
      <c r="A36" s="2" t="s">
        <v>6</v>
      </c>
      <c r="B36" s="16">
        <v>2.5822561643502562</v>
      </c>
      <c r="C36" s="16">
        <v>-1.7729081808693858</v>
      </c>
      <c r="D36" s="16">
        <v>1.2074589798612114</v>
      </c>
      <c r="E36" s="16">
        <v>-1.12120729347552</v>
      </c>
      <c r="F36" s="30">
        <f t="shared" ref="F36:F49" si="6">ABS(B36-C36)</f>
        <v>4.3551643452196416</v>
      </c>
      <c r="G36" s="30">
        <f t="shared" ref="G36:G49" si="7">ABS(D36-E36)</f>
        <v>2.3286662733367312</v>
      </c>
    </row>
    <row r="37" spans="1:7" x14ac:dyDescent="0.3">
      <c r="A37" s="2" t="s">
        <v>7</v>
      </c>
      <c r="B37" s="16">
        <v>-0.47809974269974775</v>
      </c>
      <c r="C37" s="16">
        <v>2.3614657230487803</v>
      </c>
      <c r="D37" s="16">
        <v>0.25597263254461933</v>
      </c>
      <c r="E37" s="16">
        <v>1.0159316711167174</v>
      </c>
      <c r="F37" s="30">
        <f t="shared" si="6"/>
        <v>2.8395654657485281</v>
      </c>
      <c r="G37" s="30">
        <f t="shared" si="7"/>
        <v>0.75995903857209812</v>
      </c>
    </row>
    <row r="38" spans="1:7" x14ac:dyDescent="0.3">
      <c r="A38" s="2" t="s">
        <v>60</v>
      </c>
      <c r="B38" s="17">
        <v>0</v>
      </c>
      <c r="C38" s="17">
        <v>0</v>
      </c>
      <c r="D38" s="17">
        <v>0</v>
      </c>
      <c r="E38" s="17">
        <v>0</v>
      </c>
      <c r="F38" s="30">
        <f t="shared" si="6"/>
        <v>0</v>
      </c>
      <c r="G38" s="30">
        <f t="shared" si="7"/>
        <v>0</v>
      </c>
    </row>
    <row r="39" spans="1:7" x14ac:dyDescent="0.3">
      <c r="A39" s="2" t="s">
        <v>8</v>
      </c>
      <c r="B39" s="16">
        <v>0.69387484713008574</v>
      </c>
      <c r="C39" s="16">
        <v>0.82059570118394032</v>
      </c>
      <c r="D39" s="16">
        <v>0.41530289730714942</v>
      </c>
      <c r="E39" s="16">
        <v>0.44081112879797751</v>
      </c>
      <c r="F39" s="30">
        <f t="shared" si="6"/>
        <v>0.12672085405385458</v>
      </c>
      <c r="G39" s="30">
        <f t="shared" si="7"/>
        <v>2.5508231490828093E-2</v>
      </c>
    </row>
    <row r="40" spans="1:7" x14ac:dyDescent="0.3">
      <c r="A40" s="2" t="s">
        <v>9</v>
      </c>
      <c r="B40" s="16">
        <v>3.6111966650086016</v>
      </c>
      <c r="C40" s="16">
        <v>0.76283655367148173</v>
      </c>
      <c r="D40" s="16">
        <v>0.48143079345884005</v>
      </c>
      <c r="E40" s="16">
        <v>-1.7642924695846433E-2</v>
      </c>
      <c r="F40" s="30">
        <f t="shared" si="6"/>
        <v>2.84836011133712</v>
      </c>
      <c r="G40" s="30">
        <f t="shared" si="7"/>
        <v>0.49907371815468649</v>
      </c>
    </row>
    <row r="41" spans="1:7" x14ac:dyDescent="0.3">
      <c r="A41" s="2" t="s">
        <v>10</v>
      </c>
      <c r="B41" s="16">
        <v>1.6462420086290139</v>
      </c>
      <c r="C41" s="16">
        <v>0.96757083424590318</v>
      </c>
      <c r="D41" s="16">
        <v>1.3148027296066065</v>
      </c>
      <c r="E41" s="16">
        <v>0.68866885804196054</v>
      </c>
      <c r="F41" s="30">
        <f t="shared" si="6"/>
        <v>0.67867117438311075</v>
      </c>
      <c r="G41" s="30">
        <f t="shared" si="7"/>
        <v>0.62613387156464595</v>
      </c>
    </row>
    <row r="42" spans="1:7" x14ac:dyDescent="0.3">
      <c r="A42" s="2" t="s">
        <v>11</v>
      </c>
      <c r="B42" s="16">
        <v>-1.4614909506841134</v>
      </c>
      <c r="C42" s="16">
        <v>4.804335178118321</v>
      </c>
      <c r="D42" s="16">
        <v>-0.82094982733283905</v>
      </c>
      <c r="E42" s="16">
        <v>3.2653139299967271</v>
      </c>
      <c r="F42" s="30">
        <f t="shared" si="6"/>
        <v>6.2658261288024342</v>
      </c>
      <c r="G42" s="30">
        <f t="shared" si="7"/>
        <v>4.0862637573295659</v>
      </c>
    </row>
    <row r="43" spans="1:7" x14ac:dyDescent="0.3">
      <c r="A43" s="2" t="s">
        <v>12</v>
      </c>
      <c r="B43" s="16">
        <v>-0.29390942840265133</v>
      </c>
      <c r="C43" s="16">
        <v>1.0499761030674506</v>
      </c>
      <c r="D43" s="16">
        <v>-0.36830606354225709</v>
      </c>
      <c r="E43" s="16">
        <v>3.0744102603614848E-2</v>
      </c>
      <c r="F43" s="30">
        <f t="shared" si="6"/>
        <v>1.3438855314701019</v>
      </c>
      <c r="G43" s="30">
        <f t="shared" si="7"/>
        <v>0.39905016614587197</v>
      </c>
    </row>
    <row r="44" spans="1:7" x14ac:dyDescent="0.3">
      <c r="A44" s="2" t="s">
        <v>61</v>
      </c>
      <c r="B44" s="16">
        <v>-1.5957182619990407</v>
      </c>
      <c r="C44" s="16">
        <v>0.57204752512468826</v>
      </c>
      <c r="D44" s="16">
        <v>0.22955752021710635</v>
      </c>
      <c r="E44" s="16">
        <v>-3.3745620592087716E-2</v>
      </c>
      <c r="F44" s="30">
        <f t="shared" si="6"/>
        <v>2.167765787123729</v>
      </c>
      <c r="G44" s="30">
        <f t="shared" si="7"/>
        <v>0.26330314080919404</v>
      </c>
    </row>
    <row r="45" spans="1:7" x14ac:dyDescent="0.3">
      <c r="A45" s="2" t="s">
        <v>13</v>
      </c>
      <c r="B45" s="16">
        <v>-0.90186533335980612</v>
      </c>
      <c r="C45" s="16">
        <v>0.33538239086575322</v>
      </c>
      <c r="D45" s="16">
        <v>-5.6689647640364042E-2</v>
      </c>
      <c r="E45" s="16">
        <v>-1.9428289573020948E-2</v>
      </c>
      <c r="F45" s="30">
        <f t="shared" si="6"/>
        <v>1.2372477242255593</v>
      </c>
      <c r="G45" s="30">
        <f t="shared" si="7"/>
        <v>3.7261358067343098E-2</v>
      </c>
    </row>
    <row r="46" spans="1:7" x14ac:dyDescent="0.3">
      <c r="A46" s="2" t="s">
        <v>62</v>
      </c>
      <c r="B46" s="16">
        <v>-1.7844108724165049</v>
      </c>
      <c r="C46" s="16">
        <v>-0.59023284438021439</v>
      </c>
      <c r="D46" s="16">
        <v>-0.89527796676276739</v>
      </c>
      <c r="E46" s="16">
        <v>-0.38935257599130302</v>
      </c>
      <c r="F46" s="30">
        <f t="shared" si="6"/>
        <v>1.1941780280362906</v>
      </c>
      <c r="G46" s="30">
        <f t="shared" si="7"/>
        <v>0.50592539077146437</v>
      </c>
    </row>
    <row r="47" spans="1:7" x14ac:dyDescent="0.3">
      <c r="A47" s="2" t="s">
        <v>14</v>
      </c>
      <c r="B47" s="16">
        <v>-0.31354775998403028</v>
      </c>
      <c r="C47" s="16">
        <v>2.2863793483086958</v>
      </c>
      <c r="D47" s="16">
        <v>7.8743223152830832E-2</v>
      </c>
      <c r="E47" s="16">
        <v>0.75756313247115104</v>
      </c>
      <c r="F47" s="30">
        <f t="shared" si="6"/>
        <v>2.599927108292726</v>
      </c>
      <c r="G47" s="30">
        <f t="shared" si="7"/>
        <v>0.67881990931832026</v>
      </c>
    </row>
    <row r="48" spans="1:7" x14ac:dyDescent="0.3">
      <c r="A48" s="2" t="s">
        <v>15</v>
      </c>
      <c r="B48" s="16">
        <v>-0.44773411002264529</v>
      </c>
      <c r="C48" s="16">
        <v>2.0754773976501508</v>
      </c>
      <c r="D48" s="16">
        <v>0.1918794983499762</v>
      </c>
      <c r="E48" s="16">
        <v>0.88984793362771375</v>
      </c>
      <c r="F48" s="30">
        <f t="shared" si="6"/>
        <v>2.5232115076727961</v>
      </c>
      <c r="G48" s="30">
        <f t="shared" si="7"/>
        <v>0.69796843527773755</v>
      </c>
    </row>
    <row r="49" spans="1:7" x14ac:dyDescent="0.3">
      <c r="A49" s="2" t="s">
        <v>16</v>
      </c>
      <c r="B49" s="17">
        <v>0</v>
      </c>
      <c r="C49" s="17">
        <v>0</v>
      </c>
      <c r="D49" s="17">
        <v>0</v>
      </c>
      <c r="E49" s="17">
        <v>0</v>
      </c>
      <c r="F49" s="30">
        <f t="shared" si="6"/>
        <v>0</v>
      </c>
      <c r="G49" s="30">
        <f t="shared" si="7"/>
        <v>0</v>
      </c>
    </row>
    <row r="51" spans="1:7" x14ac:dyDescent="0.3">
      <c r="E51" t="s">
        <v>90</v>
      </c>
      <c r="F51" s="13">
        <f>AVERAGE(F35:F49)</f>
        <v>1.8985774837977567</v>
      </c>
      <c r="G51" s="13">
        <f>AVERAGE(G35:G49)</f>
        <v>0.72750421005620824</v>
      </c>
    </row>
    <row r="52" spans="1:7" x14ac:dyDescent="0.3">
      <c r="E52" t="s">
        <v>95</v>
      </c>
      <c r="F52" s="13">
        <f>SUM(F35:F49)</f>
        <v>28.478662256966352</v>
      </c>
      <c r="G52" s="13">
        <f>SUM(G35:G49)</f>
        <v>10.912563150843123</v>
      </c>
    </row>
    <row r="53" spans="1:7" x14ac:dyDescent="0.3">
      <c r="E53" t="s">
        <v>91</v>
      </c>
      <c r="F53" s="13">
        <f>STDEV(F35:F49)</f>
        <v>1.7624903339177154</v>
      </c>
      <c r="G53" s="13">
        <f>STDEV(G35:G49)</f>
        <v>1.0965695018745951</v>
      </c>
    </row>
  </sheetData>
  <mergeCells count="5">
    <mergeCell ref="A1:E1"/>
    <mergeCell ref="G1:H1"/>
    <mergeCell ref="I1:J1"/>
    <mergeCell ref="G19:H19"/>
    <mergeCell ref="I19:J19"/>
  </mergeCells>
  <conditionalFormatting sqref="F35:G49">
    <cfRule type="colorScale" priority="1">
      <colorScale>
        <cfvo type="min"/>
        <cfvo type="max"/>
        <color theme="0"/>
        <color theme="9" tint="-0.24997711111789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906F-1F88-43EF-9A2D-D9A3440087B5}">
  <dimension ref="A1:AI230"/>
  <sheetViews>
    <sheetView tabSelected="1" zoomScale="75" zoomScaleNormal="80" workbookViewId="0">
      <selection activeCell="F226" sqref="F226"/>
    </sheetView>
  </sheetViews>
  <sheetFormatPr defaultRowHeight="14.4" x14ac:dyDescent="0.3"/>
  <cols>
    <col min="2" max="9" width="9.109375" bestFit="1" customWidth="1"/>
    <col min="10" max="10" width="8.88671875" customWidth="1"/>
    <col min="11" max="11" width="13.109375" bestFit="1" customWidth="1"/>
    <col min="12" max="12" width="9.33203125" bestFit="1" customWidth="1"/>
    <col min="13" max="14" width="9.109375" bestFit="1" customWidth="1"/>
    <col min="15" max="17" width="9" bestFit="1" customWidth="1"/>
    <col min="20" max="35" width="9" bestFit="1" customWidth="1"/>
  </cols>
  <sheetData>
    <row r="1" spans="1:35" x14ac:dyDescent="0.3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S1" s="18" t="s">
        <v>30</v>
      </c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spans="1:35" x14ac:dyDescent="0.3">
      <c r="A2" s="2" t="s">
        <v>29</v>
      </c>
      <c r="B2" s="2" t="s">
        <v>5</v>
      </c>
      <c r="C2" s="2" t="s">
        <v>6</v>
      </c>
      <c r="D2" s="2" t="s">
        <v>7</v>
      </c>
      <c r="E2" s="2" t="s">
        <v>60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61</v>
      </c>
      <c r="L2" s="2" t="s">
        <v>13</v>
      </c>
      <c r="M2" s="2" t="s">
        <v>62</v>
      </c>
      <c r="N2" s="2" t="s">
        <v>14</v>
      </c>
      <c r="O2" s="2" t="s">
        <v>15</v>
      </c>
      <c r="P2" s="2" t="s">
        <v>16</v>
      </c>
      <c r="Q2" s="2"/>
      <c r="S2" s="2" t="s">
        <v>29</v>
      </c>
      <c r="T2" s="2" t="s">
        <v>5</v>
      </c>
      <c r="U2" s="2" t="s">
        <v>6</v>
      </c>
      <c r="V2" s="2" t="s">
        <v>7</v>
      </c>
      <c r="W2" s="2" t="s">
        <v>60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61</v>
      </c>
      <c r="AD2" s="2" t="s">
        <v>13</v>
      </c>
      <c r="AE2" s="2" t="s">
        <v>62</v>
      </c>
      <c r="AF2" s="2" t="s">
        <v>14</v>
      </c>
      <c r="AG2" s="2" t="s">
        <v>15</v>
      </c>
      <c r="AH2" s="2" t="s">
        <v>16</v>
      </c>
    </row>
    <row r="3" spans="1:35" x14ac:dyDescent="0.3">
      <c r="A3" s="2" t="s">
        <v>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0.88186900857533923</v>
      </c>
      <c r="Q3" s="2"/>
      <c r="S3" s="2" t="s">
        <v>5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0.77151064664036784</v>
      </c>
    </row>
    <row r="4" spans="1:35" x14ac:dyDescent="0.3">
      <c r="A4" s="2" t="s">
        <v>6</v>
      </c>
      <c r="B4" s="2">
        <v>-1.0134400812834528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-1.5269726881319645</v>
      </c>
      <c r="J4" s="2">
        <v>0</v>
      </c>
      <c r="K4" s="2">
        <v>0</v>
      </c>
      <c r="L4" s="2">
        <v>0</v>
      </c>
      <c r="M4" s="2">
        <v>2.8647843143990692</v>
      </c>
      <c r="N4" s="2">
        <v>0</v>
      </c>
      <c r="O4" s="2">
        <v>0</v>
      </c>
      <c r="P4" s="2">
        <v>0</v>
      </c>
      <c r="Q4" s="2"/>
      <c r="S4" s="2" t="s">
        <v>6</v>
      </c>
      <c r="T4" s="2">
        <v>-1.1672013354497313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-2.4438462486461163</v>
      </c>
      <c r="AB4" s="2">
        <v>0</v>
      </c>
      <c r="AC4" s="2">
        <v>0</v>
      </c>
      <c r="AD4" s="2">
        <v>0</v>
      </c>
      <c r="AE4" s="2">
        <v>5.2123430520955552</v>
      </c>
      <c r="AF4" s="2">
        <v>0</v>
      </c>
      <c r="AG4" s="2">
        <v>0</v>
      </c>
      <c r="AH4" s="2">
        <v>0</v>
      </c>
    </row>
    <row r="5" spans="1:35" x14ac:dyDescent="0.3">
      <c r="A5" s="2" t="s">
        <v>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0.65295583418375536</v>
      </c>
      <c r="I5" s="2">
        <v>-1.0488570366692156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/>
      <c r="S5" s="2" t="s">
        <v>7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0.82636532679091101</v>
      </c>
      <c r="AA5" s="2">
        <v>-1.4852744085590259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5" x14ac:dyDescent="0.3">
      <c r="A6" s="2" t="s">
        <v>60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/>
      <c r="S6" s="2" t="s">
        <v>60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5" x14ac:dyDescent="0.3">
      <c r="A7" s="2" t="s">
        <v>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0.74603716639516737</v>
      </c>
      <c r="O7" s="2">
        <v>0</v>
      </c>
      <c r="P7" s="2">
        <v>0</v>
      </c>
      <c r="Q7" s="2"/>
      <c r="S7" s="2" t="s">
        <v>8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1.5180198066137216</v>
      </c>
      <c r="AG7" s="2">
        <v>0</v>
      </c>
      <c r="AH7" s="2">
        <v>0</v>
      </c>
    </row>
    <row r="8" spans="1:35" x14ac:dyDescent="0.3">
      <c r="A8" s="2" t="s">
        <v>9</v>
      </c>
      <c r="B8" s="2">
        <v>0</v>
      </c>
      <c r="C8" s="2">
        <v>0</v>
      </c>
      <c r="D8" s="2">
        <v>1.7429246761198128E-2</v>
      </c>
      <c r="E8" s="2">
        <v>0</v>
      </c>
      <c r="F8" s="2">
        <v>0</v>
      </c>
      <c r="G8" s="2">
        <v>0</v>
      </c>
      <c r="H8" s="2">
        <v>-0.45774905674231969</v>
      </c>
      <c r="I8" s="2">
        <v>1.768878404145493</v>
      </c>
      <c r="J8" s="2">
        <v>0</v>
      </c>
      <c r="K8" s="3">
        <v>-1.1457839572942683</v>
      </c>
      <c r="L8" s="9">
        <v>-1.6189177123596112</v>
      </c>
      <c r="M8" s="2">
        <v>0</v>
      </c>
      <c r="N8" s="2">
        <v>0</v>
      </c>
      <c r="O8" s="2">
        <v>0</v>
      </c>
      <c r="P8" s="2">
        <v>0</v>
      </c>
      <c r="Q8" s="2"/>
      <c r="S8" s="2" t="s">
        <v>9</v>
      </c>
      <c r="T8" s="2">
        <v>0</v>
      </c>
      <c r="U8" s="2">
        <v>0</v>
      </c>
      <c r="V8" s="2">
        <v>0.27964603867183396</v>
      </c>
      <c r="W8" s="2">
        <v>0</v>
      </c>
      <c r="X8" s="2">
        <v>0</v>
      </c>
      <c r="Y8" s="2">
        <v>0</v>
      </c>
      <c r="Z8" s="2">
        <v>-0.73716716688561212</v>
      </c>
      <c r="AA8" s="2">
        <v>2.9870960868914778</v>
      </c>
      <c r="AB8" s="2">
        <v>0</v>
      </c>
      <c r="AC8" s="3">
        <v>0.77435577961253388</v>
      </c>
      <c r="AD8" s="2">
        <v>-2.9527940988546217</v>
      </c>
      <c r="AE8" s="2">
        <v>0</v>
      </c>
      <c r="AF8" s="2">
        <v>0</v>
      </c>
      <c r="AG8" s="2">
        <v>0</v>
      </c>
      <c r="AH8" s="2">
        <v>0</v>
      </c>
    </row>
    <row r="9" spans="1:35" x14ac:dyDescent="0.3">
      <c r="A9" s="2" t="s">
        <v>10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0.7649278963193098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S9" s="2" t="s">
        <v>10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0.67016840073119921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5" x14ac:dyDescent="0.3">
      <c r="A10" s="2" t="s">
        <v>11</v>
      </c>
      <c r="B10" s="2">
        <v>0</v>
      </c>
      <c r="C10" s="2">
        <v>0</v>
      </c>
      <c r="D10" s="2">
        <v>0</v>
      </c>
      <c r="E10" s="8">
        <v>-2.2374364699538765</v>
      </c>
      <c r="F10" s="2">
        <v>0</v>
      </c>
      <c r="G10" s="2">
        <v>0</v>
      </c>
      <c r="H10" s="2">
        <v>0.21671350484986968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S10" s="2" t="s">
        <v>11</v>
      </c>
      <c r="T10" s="2">
        <v>0</v>
      </c>
      <c r="U10" s="2">
        <v>0</v>
      </c>
      <c r="V10" s="2">
        <v>0</v>
      </c>
      <c r="W10" s="2">
        <v>-3.3875125167057103</v>
      </c>
      <c r="X10" s="2">
        <v>0</v>
      </c>
      <c r="Y10" s="2">
        <v>0</v>
      </c>
      <c r="Z10" s="2">
        <v>0.22069064019031245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5" x14ac:dyDescent="0.3">
      <c r="A11" s="2" t="s">
        <v>12</v>
      </c>
      <c r="B11" s="2">
        <v>0</v>
      </c>
      <c r="C11" s="2">
        <v>0</v>
      </c>
      <c r="D11" s="2">
        <v>-4.2518687908563418E-2</v>
      </c>
      <c r="E11" s="2">
        <v>0</v>
      </c>
      <c r="F11" s="2">
        <v>0</v>
      </c>
      <c r="G11" s="2">
        <v>0</v>
      </c>
      <c r="H11" s="2">
        <v>0</v>
      </c>
      <c r="I11" s="2">
        <v>-5.7082048798325321E-3</v>
      </c>
      <c r="J11" s="2">
        <v>0</v>
      </c>
      <c r="K11" s="8">
        <v>-4.2507260365958616E-2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S11" s="2" t="s">
        <v>12</v>
      </c>
      <c r="T11" s="2">
        <v>0</v>
      </c>
      <c r="U11" s="2">
        <v>0</v>
      </c>
      <c r="V11" s="2">
        <v>-7.3572960789945505E-2</v>
      </c>
      <c r="W11" s="2">
        <v>0</v>
      </c>
      <c r="X11" s="2">
        <v>0</v>
      </c>
      <c r="Y11" s="2">
        <v>0</v>
      </c>
      <c r="Z11" s="2">
        <v>0</v>
      </c>
      <c r="AA11" s="2">
        <v>-0.12373154839822605</v>
      </c>
      <c r="AB11" s="2">
        <v>0</v>
      </c>
      <c r="AC11" s="2">
        <v>-0.54876502163508634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5" x14ac:dyDescent="0.3">
      <c r="A12" s="2" t="s">
        <v>61</v>
      </c>
      <c r="B12" s="2">
        <v>0</v>
      </c>
      <c r="C12" s="2">
        <v>0</v>
      </c>
      <c r="D12" s="2">
        <v>-0.22673666831856604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S12" s="2" t="s">
        <v>61</v>
      </c>
      <c r="T12" s="2">
        <v>0</v>
      </c>
      <c r="U12" s="2">
        <v>0</v>
      </c>
      <c r="V12" s="2">
        <v>-0.442904423529279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5" x14ac:dyDescent="0.3">
      <c r="A13" s="2" t="s">
        <v>13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-0.95108541833477489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S13" s="2" t="s">
        <v>13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-0.86624598114657236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5" x14ac:dyDescent="0.3">
      <c r="A14" s="2" t="s">
        <v>62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-2.016154473762874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S14" s="2" t="s">
        <v>62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-2.8500068608383908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5" x14ac:dyDescent="0.3">
      <c r="A15" s="2" t="s">
        <v>14</v>
      </c>
      <c r="B15" s="2">
        <v>0</v>
      </c>
      <c r="C15" s="2">
        <v>-1.8291866597303188</v>
      </c>
      <c r="D15" s="2">
        <v>0.1979184785084708</v>
      </c>
      <c r="E15" s="2">
        <v>0</v>
      </c>
      <c r="F15" s="2">
        <v>0</v>
      </c>
      <c r="G15" s="2">
        <v>0</v>
      </c>
      <c r="H15" s="2">
        <v>0</v>
      </c>
      <c r="I15" s="3">
        <v>-0.5107511966278957</v>
      </c>
      <c r="J15" s="2">
        <v>0</v>
      </c>
      <c r="K15" s="2">
        <v>0</v>
      </c>
      <c r="L15" s="3">
        <v>3.2959505096975283E-3</v>
      </c>
      <c r="M15" s="2">
        <v>0</v>
      </c>
      <c r="N15" s="2">
        <v>0</v>
      </c>
      <c r="O15" s="2">
        <v>0</v>
      </c>
      <c r="P15" s="2">
        <v>0</v>
      </c>
      <c r="Q15" s="2"/>
      <c r="S15" s="2" t="s">
        <v>14</v>
      </c>
      <c r="T15" s="2">
        <v>0</v>
      </c>
      <c r="U15" s="2">
        <v>-1.5733259134754158</v>
      </c>
      <c r="V15" s="2">
        <v>0.28418102467220452</v>
      </c>
      <c r="W15" s="2">
        <v>0</v>
      </c>
      <c r="X15" s="2">
        <v>0</v>
      </c>
      <c r="Y15" s="2">
        <v>0</v>
      </c>
      <c r="Z15" s="2">
        <v>0</v>
      </c>
      <c r="AA15" s="2">
        <v>8.8523304579815776E-2</v>
      </c>
      <c r="AB15" s="2">
        <v>0</v>
      </c>
      <c r="AC15" s="2">
        <v>0</v>
      </c>
      <c r="AD15" s="3">
        <v>-2.279063304065471E-2</v>
      </c>
      <c r="AE15" s="2">
        <v>0</v>
      </c>
      <c r="AF15" s="2">
        <v>0</v>
      </c>
      <c r="AG15" s="2">
        <v>0</v>
      </c>
      <c r="AH15" s="2">
        <v>0</v>
      </c>
    </row>
    <row r="16" spans="1:35" x14ac:dyDescent="0.3">
      <c r="A16" s="2" t="s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0.55494643438597202</v>
      </c>
      <c r="I16" s="2">
        <v>-1.5239110133135065</v>
      </c>
      <c r="J16" s="2">
        <v>0</v>
      </c>
      <c r="K16" s="2">
        <v>0</v>
      </c>
      <c r="L16" s="3">
        <v>0.34201826369666072</v>
      </c>
      <c r="M16" s="2">
        <v>0</v>
      </c>
      <c r="N16" s="2">
        <v>0</v>
      </c>
      <c r="O16" s="2">
        <v>0</v>
      </c>
      <c r="P16" s="2">
        <v>0</v>
      </c>
      <c r="Q16" s="2"/>
      <c r="S16" s="2" t="s">
        <v>15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0.55631321954237678</v>
      </c>
      <c r="AA16" s="2">
        <v>-1.9832439149172112</v>
      </c>
      <c r="AB16" s="2">
        <v>0</v>
      </c>
      <c r="AC16" s="2">
        <v>0</v>
      </c>
      <c r="AD16" s="3">
        <v>-0.25954746744906587</v>
      </c>
      <c r="AE16" s="2">
        <v>0</v>
      </c>
      <c r="AF16" s="2">
        <v>0</v>
      </c>
      <c r="AG16" s="2">
        <v>0</v>
      </c>
      <c r="AH16" s="2">
        <v>0</v>
      </c>
    </row>
    <row r="17" spans="1:35" x14ac:dyDescent="0.3">
      <c r="A17" s="2" t="s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S17" s="2" t="s">
        <v>16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20" spans="1:35" x14ac:dyDescent="0.3">
      <c r="A20" s="18" t="s">
        <v>32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S20" s="18" t="s">
        <v>33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1:35" x14ac:dyDescent="0.3">
      <c r="A21" s="2" t="s">
        <v>29</v>
      </c>
      <c r="B21" s="2" t="s">
        <v>5</v>
      </c>
      <c r="C21" s="2" t="s">
        <v>6</v>
      </c>
      <c r="D21" s="2" t="s">
        <v>7</v>
      </c>
      <c r="E21" s="2" t="s">
        <v>60</v>
      </c>
      <c r="F21" s="2" t="s">
        <v>8</v>
      </c>
      <c r="G21" s="2" t="s">
        <v>9</v>
      </c>
      <c r="H21" s="2" t="s">
        <v>10</v>
      </c>
      <c r="I21" s="2" t="s">
        <v>11</v>
      </c>
      <c r="J21" s="2" t="s">
        <v>12</v>
      </c>
      <c r="K21" s="2" t="s">
        <v>61</v>
      </c>
      <c r="L21" s="2" t="s">
        <v>13</v>
      </c>
      <c r="M21" s="2" t="s">
        <v>62</v>
      </c>
      <c r="N21" s="2" t="s">
        <v>14</v>
      </c>
      <c r="O21" s="2" t="s">
        <v>15</v>
      </c>
      <c r="P21" s="2" t="s">
        <v>16</v>
      </c>
      <c r="Q21" s="2"/>
      <c r="S21" s="2" t="s">
        <v>29</v>
      </c>
      <c r="T21" s="2" t="s">
        <v>5</v>
      </c>
      <c r="U21" s="2" t="s">
        <v>6</v>
      </c>
      <c r="V21" s="2" t="s">
        <v>7</v>
      </c>
      <c r="W21" s="2" t="s">
        <v>60</v>
      </c>
      <c r="X21" s="2" t="s">
        <v>8</v>
      </c>
      <c r="Y21" s="2" t="s">
        <v>9</v>
      </c>
      <c r="Z21" s="2" t="s">
        <v>10</v>
      </c>
      <c r="AA21" s="2" t="s">
        <v>11</v>
      </c>
      <c r="AB21" s="2" t="s">
        <v>12</v>
      </c>
      <c r="AC21" s="2" t="s">
        <v>61</v>
      </c>
      <c r="AD21" s="2" t="s">
        <v>13</v>
      </c>
      <c r="AE21" s="2" t="s">
        <v>62</v>
      </c>
      <c r="AF21" s="2" t="s">
        <v>14</v>
      </c>
      <c r="AG21" s="2" t="s">
        <v>15</v>
      </c>
      <c r="AH21" s="2" t="s">
        <v>16</v>
      </c>
      <c r="AI21" s="2"/>
    </row>
    <row r="22" spans="1:35" x14ac:dyDescent="0.3">
      <c r="A22" s="2" t="s">
        <v>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0.93780954244916237</v>
      </c>
      <c r="Q22" s="2"/>
      <c r="S22" s="2" t="s">
        <v>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0.92380923986478547</v>
      </c>
      <c r="AI22" s="2"/>
    </row>
    <row r="23" spans="1:35" x14ac:dyDescent="0.3">
      <c r="A23" s="2" t="s">
        <v>6</v>
      </c>
      <c r="B23" s="2">
        <v>-0.81833305970193693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-1.2190878743155034</v>
      </c>
      <c r="J23" s="2">
        <v>0</v>
      </c>
      <c r="K23" s="2">
        <v>0</v>
      </c>
      <c r="L23" s="2">
        <v>0</v>
      </c>
      <c r="M23" s="2">
        <v>-1.1218277611727976</v>
      </c>
      <c r="N23" s="2">
        <v>0</v>
      </c>
      <c r="O23" s="2">
        <v>0</v>
      </c>
      <c r="P23" s="2">
        <v>0</v>
      </c>
      <c r="Q23" s="2"/>
      <c r="S23" s="2" t="s">
        <v>6</v>
      </c>
      <c r="T23" s="2">
        <v>-0.92589685898283181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-1.5297892291691748</v>
      </c>
      <c r="AB23" s="2">
        <v>0</v>
      </c>
      <c r="AC23" s="2">
        <v>0</v>
      </c>
      <c r="AD23" s="2">
        <v>0</v>
      </c>
      <c r="AE23" s="2">
        <v>-1.7713739929843959</v>
      </c>
      <c r="AF23" s="2">
        <v>0</v>
      </c>
      <c r="AG23" s="2">
        <v>0</v>
      </c>
      <c r="AH23" s="2">
        <v>0</v>
      </c>
      <c r="AI23" s="2"/>
    </row>
    <row r="24" spans="1:35" x14ac:dyDescent="0.3">
      <c r="A24" s="2" t="s">
        <v>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0.58499384203459792</v>
      </c>
      <c r="I24" s="2">
        <v>0.1671939735645312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/>
      <c r="S24" s="2" t="s">
        <v>7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0.39531634632155399</v>
      </c>
      <c r="AA24" s="2">
        <v>0.70735072603145244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/>
    </row>
    <row r="25" spans="1:35" x14ac:dyDescent="0.3">
      <c r="A25" s="2" t="s">
        <v>60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/>
      <c r="S25" s="2" t="s">
        <v>60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/>
    </row>
    <row r="26" spans="1:35" x14ac:dyDescent="0.3">
      <c r="A26" s="2" t="s">
        <v>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0.74867829394349406</v>
      </c>
      <c r="O26" s="2">
        <v>0</v>
      </c>
      <c r="P26" s="2">
        <v>0</v>
      </c>
      <c r="Q26" s="2"/>
      <c r="S26" s="2" t="s">
        <v>8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1.8064603043641427</v>
      </c>
      <c r="AG26" s="2">
        <v>0</v>
      </c>
      <c r="AH26" s="2">
        <v>0</v>
      </c>
      <c r="AI26" s="2"/>
    </row>
    <row r="27" spans="1:35" x14ac:dyDescent="0.3">
      <c r="A27" s="2" t="s">
        <v>9</v>
      </c>
      <c r="B27" s="2">
        <v>0</v>
      </c>
      <c r="C27" s="2">
        <v>0</v>
      </c>
      <c r="D27" s="2">
        <v>0.18642763336699919</v>
      </c>
      <c r="E27" s="2">
        <v>0</v>
      </c>
      <c r="F27" s="2">
        <v>0</v>
      </c>
      <c r="G27" s="2">
        <v>0</v>
      </c>
      <c r="H27" s="2">
        <v>0.43993393380843904</v>
      </c>
      <c r="I27" s="2">
        <v>-2.6644444841715282</v>
      </c>
      <c r="J27" s="2">
        <v>0</v>
      </c>
      <c r="K27" s="3">
        <v>-5.3034226239735943E-2</v>
      </c>
      <c r="L27" s="3">
        <v>0.48590527826509405</v>
      </c>
      <c r="M27" s="2">
        <v>0</v>
      </c>
      <c r="N27" s="2">
        <v>0</v>
      </c>
      <c r="O27" s="2">
        <v>0</v>
      </c>
      <c r="P27" s="2">
        <v>0</v>
      </c>
      <c r="Q27" s="2"/>
      <c r="S27" s="2" t="s">
        <v>9</v>
      </c>
      <c r="T27" s="2">
        <v>0</v>
      </c>
      <c r="U27" s="2">
        <v>0</v>
      </c>
      <c r="V27" s="2">
        <v>0.47800382359574112</v>
      </c>
      <c r="W27" s="2">
        <v>0</v>
      </c>
      <c r="X27" s="2">
        <v>0</v>
      </c>
      <c r="Y27" s="2">
        <v>0</v>
      </c>
      <c r="Z27" s="2">
        <v>0.46699729120126654</v>
      </c>
      <c r="AA27" s="2">
        <v>-4.0024524602970093</v>
      </c>
      <c r="AB27" s="2">
        <v>0</v>
      </c>
      <c r="AC27" s="3">
        <v>1.7040486361469875</v>
      </c>
      <c r="AD27" s="3">
        <v>-0.29243774707608922</v>
      </c>
      <c r="AE27" s="2">
        <v>0</v>
      </c>
      <c r="AF27" s="2">
        <v>0</v>
      </c>
      <c r="AG27" s="2">
        <v>0</v>
      </c>
      <c r="AH27" s="2">
        <v>0</v>
      </c>
      <c r="AI27" s="2"/>
    </row>
    <row r="28" spans="1:35" x14ac:dyDescent="0.3">
      <c r="A28" s="2" t="s">
        <v>10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0.61773485331364797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/>
      <c r="S28" s="2" t="s">
        <v>10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0.54504204105832021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/>
    </row>
    <row r="29" spans="1:35" x14ac:dyDescent="0.3">
      <c r="A29" s="2" t="s">
        <v>11</v>
      </c>
      <c r="B29" s="2">
        <v>0</v>
      </c>
      <c r="C29" s="2">
        <v>0</v>
      </c>
      <c r="D29" s="2">
        <v>0</v>
      </c>
      <c r="E29" s="8">
        <v>1.8749018034807183</v>
      </c>
      <c r="F29" s="2">
        <v>0</v>
      </c>
      <c r="G29" s="2">
        <v>0</v>
      </c>
      <c r="H29" s="2">
        <v>0.14245079106944922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/>
      <c r="S29" s="2" t="s">
        <v>11</v>
      </c>
      <c r="T29" s="2">
        <v>0</v>
      </c>
      <c r="U29" s="2">
        <v>0</v>
      </c>
      <c r="V29" s="2">
        <v>0</v>
      </c>
      <c r="W29" s="2">
        <v>3.2506644874279242</v>
      </c>
      <c r="X29" s="2">
        <v>0</v>
      </c>
      <c r="Y29" s="2">
        <v>0</v>
      </c>
      <c r="Z29" s="2">
        <v>0.10080939805025672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/>
    </row>
    <row r="30" spans="1:35" x14ac:dyDescent="0.3">
      <c r="A30" s="2" t="s">
        <v>12</v>
      </c>
      <c r="B30" s="2">
        <v>0</v>
      </c>
      <c r="C30" s="2">
        <v>0</v>
      </c>
      <c r="D30" s="2">
        <v>0.22513617065114769</v>
      </c>
      <c r="E30" s="2">
        <v>0</v>
      </c>
      <c r="F30" s="2">
        <v>0</v>
      </c>
      <c r="G30" s="2">
        <v>0</v>
      </c>
      <c r="H30" s="2">
        <v>0</v>
      </c>
      <c r="I30" s="2">
        <v>-1.0247438797751913</v>
      </c>
      <c r="J30" s="2">
        <v>0</v>
      </c>
      <c r="K30" s="8">
        <v>0.63719570955149796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/>
      <c r="S30" s="2" t="s">
        <v>12</v>
      </c>
      <c r="T30" s="2">
        <v>0</v>
      </c>
      <c r="U30" s="2">
        <v>0</v>
      </c>
      <c r="V30" s="2">
        <v>0.32866982288168373</v>
      </c>
      <c r="W30" s="2">
        <v>0</v>
      </c>
      <c r="X30" s="2">
        <v>0</v>
      </c>
      <c r="Y30" s="2">
        <v>0</v>
      </c>
      <c r="Z30" s="2">
        <v>0</v>
      </c>
      <c r="AA30" s="2">
        <v>-1.2684434093750887</v>
      </c>
      <c r="AB30" s="2">
        <v>0</v>
      </c>
      <c r="AC30" s="2">
        <v>1.5327784934934223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/>
    </row>
    <row r="31" spans="1:35" x14ac:dyDescent="0.3">
      <c r="A31" s="2" t="s">
        <v>61</v>
      </c>
      <c r="B31" s="2">
        <v>0</v>
      </c>
      <c r="C31" s="2">
        <v>0</v>
      </c>
      <c r="D31" s="2">
        <v>-0.29844301943808915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/>
      <c r="S31" s="2" t="s">
        <v>61</v>
      </c>
      <c r="T31" s="2">
        <v>0</v>
      </c>
      <c r="U31" s="2">
        <v>0</v>
      </c>
      <c r="V31" s="2">
        <v>-0.23988183298335328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/>
    </row>
    <row r="32" spans="1:35" x14ac:dyDescent="0.3">
      <c r="A32" s="2" t="s">
        <v>13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-0.2858503262196187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/>
      <c r="S32" s="2" t="s">
        <v>13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3">
        <v>0.43973046697232188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/>
    </row>
    <row r="33" spans="1:35" x14ac:dyDescent="0.3">
      <c r="A33" s="2" t="s">
        <v>62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-1.4473137027234164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/>
      <c r="S33" s="2" t="s">
        <v>62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-1.7929577014718729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/>
    </row>
    <row r="34" spans="1:35" x14ac:dyDescent="0.3">
      <c r="A34" s="2" t="s">
        <v>14</v>
      </c>
      <c r="B34" s="2">
        <v>0</v>
      </c>
      <c r="C34" s="3">
        <v>-1.1653000327580116</v>
      </c>
      <c r="D34" s="2">
        <v>0.20377975980823246</v>
      </c>
      <c r="E34" s="2">
        <v>0</v>
      </c>
      <c r="F34" s="2">
        <v>0</v>
      </c>
      <c r="G34" s="2">
        <v>0</v>
      </c>
      <c r="H34" s="2">
        <v>0</v>
      </c>
      <c r="I34" s="8">
        <v>1.0438700466431281</v>
      </c>
      <c r="J34" s="2">
        <v>0</v>
      </c>
      <c r="K34" s="2">
        <v>0</v>
      </c>
      <c r="L34" s="8">
        <v>-0.98642235478710927</v>
      </c>
      <c r="M34" s="2">
        <v>0</v>
      </c>
      <c r="N34" s="2">
        <v>0</v>
      </c>
      <c r="O34" s="2">
        <v>0</v>
      </c>
      <c r="P34" s="2">
        <v>0</v>
      </c>
      <c r="Q34" s="2"/>
      <c r="S34" s="2" t="s">
        <v>14</v>
      </c>
      <c r="T34" s="2">
        <v>0</v>
      </c>
      <c r="U34" s="3">
        <v>0.10555266183019535</v>
      </c>
      <c r="V34" s="2">
        <v>7.9302413963861756E-2</v>
      </c>
      <c r="W34" s="2">
        <v>0</v>
      </c>
      <c r="X34" s="2">
        <v>0</v>
      </c>
      <c r="Y34" s="2">
        <v>0</v>
      </c>
      <c r="Z34" s="2">
        <v>0</v>
      </c>
      <c r="AA34" s="2">
        <v>2.8942347304538498</v>
      </c>
      <c r="AB34" s="2">
        <v>0</v>
      </c>
      <c r="AC34" s="2">
        <v>0</v>
      </c>
      <c r="AD34" s="2">
        <v>-3.0286668433410466</v>
      </c>
      <c r="AE34" s="2">
        <v>0</v>
      </c>
      <c r="AF34" s="2">
        <v>0</v>
      </c>
      <c r="AG34" s="2">
        <v>0</v>
      </c>
      <c r="AH34" s="2">
        <v>0</v>
      </c>
      <c r="AI34" s="2"/>
    </row>
    <row r="35" spans="1:35" x14ac:dyDescent="0.3">
      <c r="A35" s="2" t="s">
        <v>15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9.997726418943452E-2</v>
      </c>
      <c r="I35" s="8">
        <v>1.0363225093544466</v>
      </c>
      <c r="J35" s="2">
        <v>0</v>
      </c>
      <c r="K35" s="2">
        <v>0</v>
      </c>
      <c r="L35" s="8">
        <v>-1.2693856785066511</v>
      </c>
      <c r="M35" s="2">
        <v>0</v>
      </c>
      <c r="N35" s="2">
        <v>0</v>
      </c>
      <c r="O35" s="2">
        <v>0</v>
      </c>
      <c r="P35" s="2">
        <v>0</v>
      </c>
      <c r="Q35" s="2"/>
      <c r="S35" s="2" t="s">
        <v>15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4.8419886598565741E-2</v>
      </c>
      <c r="AA35" s="2">
        <v>1.9477588014556151</v>
      </c>
      <c r="AB35" s="2">
        <v>0</v>
      </c>
      <c r="AC35" s="2">
        <v>0</v>
      </c>
      <c r="AD35" s="2">
        <v>-1.54060527834609</v>
      </c>
      <c r="AE35" s="2">
        <v>0</v>
      </c>
      <c r="AF35" s="2">
        <v>0</v>
      </c>
      <c r="AG35" s="2">
        <v>0</v>
      </c>
      <c r="AH35" s="2">
        <v>0</v>
      </c>
      <c r="AI35" s="2"/>
    </row>
    <row r="36" spans="1:35" x14ac:dyDescent="0.3">
      <c r="A36" s="2" t="s">
        <v>16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/>
      <c r="S36" s="2" t="s">
        <v>16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/>
    </row>
    <row r="37" spans="1:3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9" spans="1:35" x14ac:dyDescent="0.3">
      <c r="A39" s="18" t="s">
        <v>34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S39" s="18" t="s">
        <v>35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x14ac:dyDescent="0.3">
      <c r="A40" s="2" t="s">
        <v>29</v>
      </c>
      <c r="B40" s="2" t="s">
        <v>5</v>
      </c>
      <c r="C40" s="2" t="s">
        <v>6</v>
      </c>
      <c r="D40" s="2" t="s">
        <v>7</v>
      </c>
      <c r="E40" s="2" t="s">
        <v>60</v>
      </c>
      <c r="F40" s="2" t="s">
        <v>8</v>
      </c>
      <c r="G40" s="2" t="s">
        <v>9</v>
      </c>
      <c r="H40" s="2" t="s">
        <v>10</v>
      </c>
      <c r="I40" s="2" t="s">
        <v>11</v>
      </c>
      <c r="J40" s="2" t="s">
        <v>12</v>
      </c>
      <c r="K40" s="2" t="s">
        <v>61</v>
      </c>
      <c r="L40" s="2" t="s">
        <v>13</v>
      </c>
      <c r="M40" s="2" t="s">
        <v>62</v>
      </c>
      <c r="N40" s="2" t="s">
        <v>14</v>
      </c>
      <c r="O40" s="2" t="s">
        <v>15</v>
      </c>
      <c r="P40" s="2" t="s">
        <v>16</v>
      </c>
      <c r="Q40" s="2"/>
      <c r="S40" s="2" t="s">
        <v>29</v>
      </c>
      <c r="T40" s="2" t="s">
        <v>5</v>
      </c>
      <c r="U40" s="2" t="s">
        <v>6</v>
      </c>
      <c r="V40" s="2" t="s">
        <v>7</v>
      </c>
      <c r="W40" s="2" t="s">
        <v>60</v>
      </c>
      <c r="X40" s="2" t="s">
        <v>8</v>
      </c>
      <c r="Y40" s="2" t="s">
        <v>9</v>
      </c>
      <c r="Z40" s="2" t="s">
        <v>10</v>
      </c>
      <c r="AA40" s="2" t="s">
        <v>11</v>
      </c>
      <c r="AB40" s="2" t="s">
        <v>12</v>
      </c>
      <c r="AC40" s="2" t="s">
        <v>61</v>
      </c>
      <c r="AD40" s="2" t="s">
        <v>13</v>
      </c>
      <c r="AE40" s="2" t="s">
        <v>62</v>
      </c>
      <c r="AF40" s="2" t="s">
        <v>14</v>
      </c>
      <c r="AG40" s="2" t="s">
        <v>15</v>
      </c>
      <c r="AH40" s="2" t="s">
        <v>16</v>
      </c>
      <c r="AI40" s="2"/>
    </row>
    <row r="41" spans="1:35" x14ac:dyDescent="0.3">
      <c r="A41" s="2" t="s">
        <v>5</v>
      </c>
      <c r="B41">
        <f>B22-B3</f>
        <v>0</v>
      </c>
      <c r="C41">
        <f t="shared" ref="C41:P55" si="0">C22-C3</f>
        <v>0</v>
      </c>
      <c r="D41">
        <f t="shared" si="0"/>
        <v>0</v>
      </c>
      <c r="E41">
        <f t="shared" si="0"/>
        <v>0</v>
      </c>
      <c r="F41">
        <f t="shared" si="0"/>
        <v>0</v>
      </c>
      <c r="G41">
        <f t="shared" si="0"/>
        <v>0</v>
      </c>
      <c r="H41">
        <f t="shared" si="0"/>
        <v>0</v>
      </c>
      <c r="I41">
        <f t="shared" si="0"/>
        <v>0</v>
      </c>
      <c r="J41">
        <f>J22-J3</f>
        <v>0</v>
      </c>
      <c r="K41">
        <f t="shared" si="0"/>
        <v>0</v>
      </c>
      <c r="L41">
        <f t="shared" si="0"/>
        <v>0</v>
      </c>
      <c r="M41">
        <f t="shared" si="0"/>
        <v>0</v>
      </c>
      <c r="N41">
        <f t="shared" si="0"/>
        <v>0</v>
      </c>
      <c r="O41">
        <f t="shared" si="0"/>
        <v>0</v>
      </c>
      <c r="P41">
        <f t="shared" si="0"/>
        <v>5.5940533873823139E-2</v>
      </c>
      <c r="S41" s="2" t="s">
        <v>5</v>
      </c>
      <c r="T41">
        <f>T22-T3</f>
        <v>0</v>
      </c>
      <c r="U41">
        <f t="shared" ref="U41:AH41" si="1">U22-U3</f>
        <v>0</v>
      </c>
      <c r="V41">
        <f t="shared" si="1"/>
        <v>0</v>
      </c>
      <c r="W41">
        <f t="shared" si="1"/>
        <v>0</v>
      </c>
      <c r="X41">
        <f t="shared" si="1"/>
        <v>0</v>
      </c>
      <c r="Y41">
        <f t="shared" si="1"/>
        <v>0</v>
      </c>
      <c r="Z41">
        <f t="shared" si="1"/>
        <v>0</v>
      </c>
      <c r="AA41">
        <f t="shared" si="1"/>
        <v>0</v>
      </c>
      <c r="AB41">
        <f t="shared" si="1"/>
        <v>0</v>
      </c>
      <c r="AC41">
        <f t="shared" si="1"/>
        <v>0</v>
      </c>
      <c r="AD41">
        <f t="shared" si="1"/>
        <v>0</v>
      </c>
      <c r="AE41">
        <f t="shared" si="1"/>
        <v>0</v>
      </c>
      <c r="AF41">
        <f t="shared" si="1"/>
        <v>0</v>
      </c>
      <c r="AG41">
        <f t="shared" si="1"/>
        <v>0</v>
      </c>
      <c r="AH41">
        <f t="shared" si="1"/>
        <v>0.15229859322441763</v>
      </c>
    </row>
    <row r="42" spans="1:35" x14ac:dyDescent="0.3">
      <c r="A42" s="2" t="s">
        <v>6</v>
      </c>
      <c r="B42">
        <f t="shared" ref="B42:P55" si="2">B23-B4</f>
        <v>0.19510702158151583</v>
      </c>
      <c r="C42">
        <f t="shared" si="2"/>
        <v>0</v>
      </c>
      <c r="D42">
        <f t="shared" si="2"/>
        <v>0</v>
      </c>
      <c r="E42">
        <f t="shared" si="2"/>
        <v>0</v>
      </c>
      <c r="F42">
        <f t="shared" si="2"/>
        <v>0</v>
      </c>
      <c r="G42">
        <f t="shared" si="2"/>
        <v>0</v>
      </c>
      <c r="H42">
        <f t="shared" si="2"/>
        <v>0</v>
      </c>
      <c r="I42">
        <f t="shared" si="2"/>
        <v>0.30788481381646116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-3.986612075571867</v>
      </c>
      <c r="N42">
        <f t="shared" si="2"/>
        <v>0</v>
      </c>
      <c r="O42">
        <f t="shared" si="2"/>
        <v>0</v>
      </c>
      <c r="P42">
        <f t="shared" si="2"/>
        <v>0</v>
      </c>
      <c r="S42" s="2" t="s">
        <v>6</v>
      </c>
      <c r="T42">
        <f t="shared" ref="T42:AH42" si="3">T23-T4</f>
        <v>0.24130447646689945</v>
      </c>
      <c r="U42">
        <f t="shared" si="3"/>
        <v>0</v>
      </c>
      <c r="V42">
        <f t="shared" si="3"/>
        <v>0</v>
      </c>
      <c r="W42">
        <f t="shared" si="3"/>
        <v>0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0.91405701947694151</v>
      </c>
      <c r="AB42">
        <f t="shared" si="3"/>
        <v>0</v>
      </c>
      <c r="AC42">
        <f t="shared" si="3"/>
        <v>0</v>
      </c>
      <c r="AD42">
        <f t="shared" si="3"/>
        <v>0</v>
      </c>
      <c r="AE42">
        <f t="shared" si="3"/>
        <v>-6.9837170450799508</v>
      </c>
      <c r="AF42">
        <f t="shared" si="3"/>
        <v>0</v>
      </c>
      <c r="AG42">
        <f t="shared" si="3"/>
        <v>0</v>
      </c>
      <c r="AH42">
        <f t="shared" si="3"/>
        <v>0</v>
      </c>
    </row>
    <row r="43" spans="1:35" x14ac:dyDescent="0.3">
      <c r="A43" s="2" t="s">
        <v>7</v>
      </c>
      <c r="B43">
        <f t="shared" si="2"/>
        <v>0</v>
      </c>
      <c r="C43">
        <f t="shared" si="0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-6.7961992149157435E-2</v>
      </c>
      <c r="I43">
        <f t="shared" si="0"/>
        <v>1.2160510102337467</v>
      </c>
      <c r="J43">
        <f t="shared" si="0"/>
        <v>0</v>
      </c>
      <c r="K43">
        <f t="shared" si="0"/>
        <v>0</v>
      </c>
      <c r="L43">
        <f t="shared" si="0"/>
        <v>0</v>
      </c>
      <c r="M43">
        <f t="shared" si="0"/>
        <v>0</v>
      </c>
      <c r="N43">
        <f t="shared" si="0"/>
        <v>0</v>
      </c>
      <c r="O43">
        <f t="shared" si="0"/>
        <v>0</v>
      </c>
      <c r="P43">
        <f t="shared" si="0"/>
        <v>0</v>
      </c>
      <c r="S43" s="2" t="s">
        <v>7</v>
      </c>
      <c r="T43">
        <f t="shared" ref="T43:AH43" si="4">T24-T5</f>
        <v>0</v>
      </c>
      <c r="U43">
        <f t="shared" si="4"/>
        <v>0</v>
      </c>
      <c r="V43">
        <f t="shared" si="4"/>
        <v>0</v>
      </c>
      <c r="W43">
        <f t="shared" si="4"/>
        <v>0</v>
      </c>
      <c r="X43">
        <f t="shared" si="4"/>
        <v>0</v>
      </c>
      <c r="Y43">
        <f t="shared" si="4"/>
        <v>0</v>
      </c>
      <c r="Z43">
        <f t="shared" si="4"/>
        <v>-0.43104898046935702</v>
      </c>
      <c r="AA43">
        <f t="shared" si="4"/>
        <v>2.1926251345904784</v>
      </c>
      <c r="AB43">
        <f t="shared" si="4"/>
        <v>0</v>
      </c>
      <c r="AC43">
        <f t="shared" si="4"/>
        <v>0</v>
      </c>
      <c r="AD43">
        <f t="shared" si="4"/>
        <v>0</v>
      </c>
      <c r="AE43">
        <f t="shared" si="4"/>
        <v>0</v>
      </c>
      <c r="AF43">
        <f t="shared" si="4"/>
        <v>0</v>
      </c>
      <c r="AG43">
        <f t="shared" si="4"/>
        <v>0</v>
      </c>
      <c r="AH43">
        <f t="shared" si="4"/>
        <v>0</v>
      </c>
    </row>
    <row r="44" spans="1:35" x14ac:dyDescent="0.3">
      <c r="A44" s="2" t="s">
        <v>60</v>
      </c>
      <c r="B44">
        <f t="shared" si="2"/>
        <v>0</v>
      </c>
      <c r="C44">
        <f t="shared" si="0"/>
        <v>0</v>
      </c>
      <c r="D44">
        <f t="shared" si="0"/>
        <v>0</v>
      </c>
      <c r="E44">
        <f t="shared" si="0"/>
        <v>0</v>
      </c>
      <c r="F44">
        <f t="shared" si="0"/>
        <v>0</v>
      </c>
      <c r="G44">
        <f t="shared" si="0"/>
        <v>0</v>
      </c>
      <c r="H44">
        <f t="shared" si="0"/>
        <v>0</v>
      </c>
      <c r="I44">
        <f t="shared" si="0"/>
        <v>0</v>
      </c>
      <c r="J44">
        <f t="shared" si="0"/>
        <v>0</v>
      </c>
      <c r="K44">
        <f t="shared" si="0"/>
        <v>0</v>
      </c>
      <c r="L44">
        <f t="shared" si="0"/>
        <v>0</v>
      </c>
      <c r="M44">
        <f t="shared" si="0"/>
        <v>0</v>
      </c>
      <c r="N44">
        <f t="shared" si="0"/>
        <v>0</v>
      </c>
      <c r="O44">
        <f t="shared" si="0"/>
        <v>0</v>
      </c>
      <c r="P44">
        <f t="shared" si="0"/>
        <v>0</v>
      </c>
      <c r="S44" s="2" t="s">
        <v>60</v>
      </c>
      <c r="T44">
        <f>T25-T6</f>
        <v>0</v>
      </c>
      <c r="U44">
        <f t="shared" ref="U44:AH44" si="5">U25-U6</f>
        <v>0</v>
      </c>
      <c r="V44">
        <f t="shared" si="5"/>
        <v>0</v>
      </c>
      <c r="W44">
        <f t="shared" si="5"/>
        <v>0</v>
      </c>
      <c r="X44">
        <f t="shared" si="5"/>
        <v>0</v>
      </c>
      <c r="Y44">
        <f t="shared" si="5"/>
        <v>0</v>
      </c>
      <c r="Z44">
        <f t="shared" si="5"/>
        <v>0</v>
      </c>
      <c r="AA44">
        <f t="shared" si="5"/>
        <v>0</v>
      </c>
      <c r="AB44">
        <f t="shared" si="5"/>
        <v>0</v>
      </c>
      <c r="AC44">
        <f t="shared" si="5"/>
        <v>0</v>
      </c>
      <c r="AD44">
        <f t="shared" si="5"/>
        <v>0</v>
      </c>
      <c r="AE44">
        <f t="shared" si="5"/>
        <v>0</v>
      </c>
      <c r="AF44">
        <f t="shared" si="5"/>
        <v>0</v>
      </c>
      <c r="AG44">
        <f t="shared" si="5"/>
        <v>0</v>
      </c>
      <c r="AH44">
        <f t="shared" si="5"/>
        <v>0</v>
      </c>
    </row>
    <row r="45" spans="1:35" x14ac:dyDescent="0.3">
      <c r="A45" s="2" t="s">
        <v>8</v>
      </c>
      <c r="B45">
        <f t="shared" si="2"/>
        <v>0</v>
      </c>
      <c r="C45">
        <f t="shared" si="0"/>
        <v>0</v>
      </c>
      <c r="D45">
        <f t="shared" si="0"/>
        <v>0</v>
      </c>
      <c r="E45">
        <f t="shared" si="0"/>
        <v>0</v>
      </c>
      <c r="F45">
        <f t="shared" si="0"/>
        <v>0</v>
      </c>
      <c r="G45">
        <f t="shared" si="0"/>
        <v>0</v>
      </c>
      <c r="H45">
        <f t="shared" si="0"/>
        <v>0</v>
      </c>
      <c r="I45">
        <f t="shared" si="0"/>
        <v>0</v>
      </c>
      <c r="J45">
        <f t="shared" si="0"/>
        <v>0</v>
      </c>
      <c r="K45">
        <f t="shared" si="0"/>
        <v>0</v>
      </c>
      <c r="L45">
        <f t="shared" si="0"/>
        <v>0</v>
      </c>
      <c r="M45">
        <f t="shared" si="0"/>
        <v>0</v>
      </c>
      <c r="N45">
        <f t="shared" si="0"/>
        <v>2.6411275483266827E-3</v>
      </c>
      <c r="O45">
        <f t="shared" si="0"/>
        <v>0</v>
      </c>
      <c r="P45">
        <f t="shared" si="0"/>
        <v>0</v>
      </c>
      <c r="S45" s="2" t="s">
        <v>8</v>
      </c>
      <c r="T45">
        <f t="shared" ref="T45:AH45" si="6">T26-T7</f>
        <v>0</v>
      </c>
      <c r="U45">
        <f t="shared" si="6"/>
        <v>0</v>
      </c>
      <c r="V45">
        <f t="shared" si="6"/>
        <v>0</v>
      </c>
      <c r="W45">
        <f t="shared" si="6"/>
        <v>0</v>
      </c>
      <c r="X45">
        <f t="shared" si="6"/>
        <v>0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0</v>
      </c>
      <c r="AE45">
        <f t="shared" si="6"/>
        <v>0</v>
      </c>
      <c r="AF45">
        <f t="shared" si="6"/>
        <v>0.28844049775042113</v>
      </c>
      <c r="AG45">
        <f t="shared" si="6"/>
        <v>0</v>
      </c>
      <c r="AH45">
        <f t="shared" si="6"/>
        <v>0</v>
      </c>
    </row>
    <row r="46" spans="1:35" x14ac:dyDescent="0.3">
      <c r="A46" s="2" t="s">
        <v>9</v>
      </c>
      <c r="B46">
        <f t="shared" si="2"/>
        <v>0</v>
      </c>
      <c r="C46">
        <f t="shared" si="0"/>
        <v>0</v>
      </c>
      <c r="D46">
        <f t="shared" si="0"/>
        <v>0.16899838660580108</v>
      </c>
      <c r="E46">
        <f t="shared" si="0"/>
        <v>0</v>
      </c>
      <c r="F46">
        <f t="shared" si="0"/>
        <v>0</v>
      </c>
      <c r="G46">
        <f t="shared" si="0"/>
        <v>0</v>
      </c>
      <c r="H46">
        <f t="shared" si="0"/>
        <v>0.89768299055075873</v>
      </c>
      <c r="I46">
        <f t="shared" si="0"/>
        <v>-4.4333228883170213</v>
      </c>
      <c r="J46">
        <f t="shared" si="0"/>
        <v>0</v>
      </c>
      <c r="K46">
        <f t="shared" si="0"/>
        <v>1.0927497310545324</v>
      </c>
      <c r="L46">
        <f t="shared" si="0"/>
        <v>2.1048229906247053</v>
      </c>
      <c r="M46">
        <f t="shared" si="0"/>
        <v>0</v>
      </c>
      <c r="N46">
        <f t="shared" si="0"/>
        <v>0</v>
      </c>
      <c r="O46">
        <f t="shared" si="0"/>
        <v>0</v>
      </c>
      <c r="P46">
        <f t="shared" si="0"/>
        <v>0</v>
      </c>
      <c r="S46" s="2" t="s">
        <v>9</v>
      </c>
      <c r="T46">
        <f t="shared" ref="T46:AH46" si="7">T27-T8</f>
        <v>0</v>
      </c>
      <c r="U46">
        <f t="shared" si="7"/>
        <v>0</v>
      </c>
      <c r="V46">
        <f t="shared" si="7"/>
        <v>0.19835778492390715</v>
      </c>
      <c r="W46">
        <f t="shared" si="7"/>
        <v>0</v>
      </c>
      <c r="X46">
        <f t="shared" si="7"/>
        <v>0</v>
      </c>
      <c r="Y46">
        <f t="shared" si="7"/>
        <v>0</v>
      </c>
      <c r="Z46">
        <f t="shared" si="7"/>
        <v>1.2041644580868787</v>
      </c>
      <c r="AA46">
        <f t="shared" si="7"/>
        <v>-6.9895485471884875</v>
      </c>
      <c r="AB46">
        <f t="shared" si="7"/>
        <v>0</v>
      </c>
      <c r="AC46">
        <f t="shared" si="7"/>
        <v>0.92969285653445366</v>
      </c>
      <c r="AD46">
        <f t="shared" si="7"/>
        <v>2.6603563517785327</v>
      </c>
      <c r="AE46">
        <f t="shared" si="7"/>
        <v>0</v>
      </c>
      <c r="AF46">
        <f t="shared" si="7"/>
        <v>0</v>
      </c>
      <c r="AG46">
        <f t="shared" si="7"/>
        <v>0</v>
      </c>
      <c r="AH46">
        <f t="shared" si="7"/>
        <v>0</v>
      </c>
    </row>
    <row r="47" spans="1:35" x14ac:dyDescent="0.3">
      <c r="A47" s="2" t="s">
        <v>10</v>
      </c>
      <c r="B47">
        <f t="shared" si="2"/>
        <v>0</v>
      </c>
      <c r="C47">
        <f t="shared" si="0"/>
        <v>0</v>
      </c>
      <c r="D47">
        <f t="shared" si="0"/>
        <v>0</v>
      </c>
      <c r="E47">
        <f t="shared" si="0"/>
        <v>0</v>
      </c>
      <c r="F47">
        <f t="shared" si="0"/>
        <v>0</v>
      </c>
      <c r="G47">
        <f t="shared" si="0"/>
        <v>0</v>
      </c>
      <c r="H47">
        <f t="shared" si="0"/>
        <v>-0.14719304300566183</v>
      </c>
      <c r="I47">
        <f t="shared" si="0"/>
        <v>0</v>
      </c>
      <c r="J47">
        <f t="shared" si="0"/>
        <v>0</v>
      </c>
      <c r="K47">
        <f>K28-K9</f>
        <v>0</v>
      </c>
      <c r="L47">
        <f t="shared" si="0"/>
        <v>0</v>
      </c>
      <c r="M47">
        <f t="shared" si="0"/>
        <v>0</v>
      </c>
      <c r="N47">
        <f t="shared" si="0"/>
        <v>0</v>
      </c>
      <c r="O47">
        <f t="shared" si="0"/>
        <v>0</v>
      </c>
      <c r="P47">
        <f t="shared" si="0"/>
        <v>0</v>
      </c>
      <c r="S47" s="2" t="s">
        <v>10</v>
      </c>
      <c r="T47">
        <f t="shared" ref="T47:AH47" si="8">T28-T9</f>
        <v>0</v>
      </c>
      <c r="U47">
        <f t="shared" si="8"/>
        <v>0</v>
      </c>
      <c r="V47">
        <f t="shared" si="8"/>
        <v>0</v>
      </c>
      <c r="W47">
        <f t="shared" si="8"/>
        <v>0</v>
      </c>
      <c r="X47">
        <f t="shared" si="8"/>
        <v>0</v>
      </c>
      <c r="Y47">
        <f t="shared" si="8"/>
        <v>0</v>
      </c>
      <c r="Z47">
        <f t="shared" si="8"/>
        <v>-0.125126359672879</v>
      </c>
      <c r="AA47">
        <f t="shared" si="8"/>
        <v>0</v>
      </c>
      <c r="AB47">
        <f t="shared" si="8"/>
        <v>0</v>
      </c>
      <c r="AC47">
        <f t="shared" si="8"/>
        <v>0</v>
      </c>
      <c r="AD47">
        <f t="shared" si="8"/>
        <v>0</v>
      </c>
      <c r="AE47">
        <f t="shared" si="8"/>
        <v>0</v>
      </c>
      <c r="AF47">
        <f t="shared" si="8"/>
        <v>0</v>
      </c>
      <c r="AG47">
        <f t="shared" si="8"/>
        <v>0</v>
      </c>
      <c r="AH47">
        <f t="shared" si="8"/>
        <v>0</v>
      </c>
    </row>
    <row r="48" spans="1:35" x14ac:dyDescent="0.3">
      <c r="A48" s="2" t="s">
        <v>11</v>
      </c>
      <c r="B48">
        <f t="shared" si="2"/>
        <v>0</v>
      </c>
      <c r="C48">
        <f t="shared" si="0"/>
        <v>0</v>
      </c>
      <c r="D48">
        <f t="shared" si="0"/>
        <v>0</v>
      </c>
      <c r="E48">
        <f t="shared" si="0"/>
        <v>4.1123382734345952</v>
      </c>
      <c r="F48">
        <f t="shared" si="0"/>
        <v>0</v>
      </c>
      <c r="G48">
        <f t="shared" si="0"/>
        <v>0</v>
      </c>
      <c r="H48">
        <f t="shared" si="0"/>
        <v>-7.4262713780420458E-2</v>
      </c>
      <c r="I48">
        <f t="shared" si="0"/>
        <v>0</v>
      </c>
      <c r="J48">
        <f t="shared" si="0"/>
        <v>0</v>
      </c>
      <c r="K48">
        <f t="shared" si="0"/>
        <v>0</v>
      </c>
      <c r="L48">
        <f t="shared" si="0"/>
        <v>0</v>
      </c>
      <c r="M48">
        <f t="shared" si="0"/>
        <v>0</v>
      </c>
      <c r="N48">
        <f t="shared" si="0"/>
        <v>0</v>
      </c>
      <c r="O48">
        <f t="shared" si="0"/>
        <v>0</v>
      </c>
      <c r="P48">
        <f t="shared" si="0"/>
        <v>0</v>
      </c>
      <c r="S48" s="2" t="s">
        <v>11</v>
      </c>
      <c r="T48">
        <f t="shared" ref="T48:AH48" si="9">T29-T10</f>
        <v>0</v>
      </c>
      <c r="U48">
        <f t="shared" si="9"/>
        <v>0</v>
      </c>
      <c r="V48">
        <f t="shared" si="9"/>
        <v>0</v>
      </c>
      <c r="W48">
        <f t="shared" si="9"/>
        <v>6.6381770041336345</v>
      </c>
      <c r="X48">
        <f t="shared" si="9"/>
        <v>0</v>
      </c>
      <c r="Y48">
        <f t="shared" si="9"/>
        <v>0</v>
      </c>
      <c r="Z48">
        <f t="shared" si="9"/>
        <v>-0.11988124214005573</v>
      </c>
      <c r="AA48">
        <f t="shared" si="9"/>
        <v>0</v>
      </c>
      <c r="AB48">
        <f t="shared" si="9"/>
        <v>0</v>
      </c>
      <c r="AC48">
        <f t="shared" si="9"/>
        <v>0</v>
      </c>
      <c r="AD48">
        <f t="shared" si="9"/>
        <v>0</v>
      </c>
      <c r="AE48">
        <f t="shared" si="9"/>
        <v>0</v>
      </c>
      <c r="AF48">
        <f t="shared" si="9"/>
        <v>0</v>
      </c>
      <c r="AG48">
        <f t="shared" si="9"/>
        <v>0</v>
      </c>
      <c r="AH48">
        <f t="shared" si="9"/>
        <v>0</v>
      </c>
    </row>
    <row r="49" spans="1:35" x14ac:dyDescent="0.3">
      <c r="A49" s="2" t="s">
        <v>12</v>
      </c>
      <c r="B49">
        <f t="shared" si="2"/>
        <v>0</v>
      </c>
      <c r="C49">
        <f t="shared" si="0"/>
        <v>0</v>
      </c>
      <c r="D49">
        <f t="shared" si="0"/>
        <v>0.26765485855971111</v>
      </c>
      <c r="E49">
        <f t="shared" si="0"/>
        <v>0</v>
      </c>
      <c r="F49">
        <f t="shared" si="0"/>
        <v>0</v>
      </c>
      <c r="G49">
        <f t="shared" si="0"/>
        <v>0</v>
      </c>
      <c r="H49">
        <f t="shared" si="0"/>
        <v>0</v>
      </c>
      <c r="I49">
        <f t="shared" si="0"/>
        <v>-1.0190356748953588</v>
      </c>
      <c r="J49">
        <f t="shared" si="0"/>
        <v>0</v>
      </c>
      <c r="K49">
        <f t="shared" si="0"/>
        <v>0.6797029699174566</v>
      </c>
      <c r="L49">
        <f t="shared" si="0"/>
        <v>0</v>
      </c>
      <c r="M49">
        <f t="shared" si="0"/>
        <v>0</v>
      </c>
      <c r="N49">
        <f t="shared" si="0"/>
        <v>0</v>
      </c>
      <c r="O49">
        <f t="shared" si="0"/>
        <v>0</v>
      </c>
      <c r="P49">
        <f t="shared" si="0"/>
        <v>0</v>
      </c>
      <c r="S49" s="2" t="s">
        <v>12</v>
      </c>
      <c r="T49">
        <f t="shared" ref="T49:AH49" si="10">T30-T11</f>
        <v>0</v>
      </c>
      <c r="U49">
        <f t="shared" si="10"/>
        <v>0</v>
      </c>
      <c r="V49">
        <f t="shared" si="10"/>
        <v>0.40224278367162924</v>
      </c>
      <c r="W49">
        <f t="shared" si="10"/>
        <v>0</v>
      </c>
      <c r="X49">
        <f t="shared" si="10"/>
        <v>0</v>
      </c>
      <c r="Y49">
        <f t="shared" si="10"/>
        <v>0</v>
      </c>
      <c r="Z49">
        <f t="shared" si="10"/>
        <v>0</v>
      </c>
      <c r="AA49">
        <f t="shared" si="10"/>
        <v>-1.1447118609768627</v>
      </c>
      <c r="AB49">
        <f t="shared" si="10"/>
        <v>0</v>
      </c>
      <c r="AC49">
        <f t="shared" si="10"/>
        <v>2.0815435151285087</v>
      </c>
      <c r="AD49">
        <f t="shared" si="10"/>
        <v>0</v>
      </c>
      <c r="AE49">
        <f t="shared" si="10"/>
        <v>0</v>
      </c>
      <c r="AF49">
        <f t="shared" si="10"/>
        <v>0</v>
      </c>
      <c r="AG49">
        <f t="shared" si="10"/>
        <v>0</v>
      </c>
      <c r="AH49">
        <f t="shared" si="10"/>
        <v>0</v>
      </c>
    </row>
    <row r="50" spans="1:35" x14ac:dyDescent="0.3">
      <c r="A50" s="2" t="s">
        <v>61</v>
      </c>
      <c r="B50">
        <f t="shared" si="2"/>
        <v>0</v>
      </c>
      <c r="C50">
        <f t="shared" si="0"/>
        <v>0</v>
      </c>
      <c r="D50">
        <f t="shared" si="0"/>
        <v>-7.1706351119523115E-2</v>
      </c>
      <c r="E50">
        <f t="shared" si="0"/>
        <v>0</v>
      </c>
      <c r="F50">
        <f t="shared" si="0"/>
        <v>0</v>
      </c>
      <c r="G50">
        <f t="shared" si="0"/>
        <v>0</v>
      </c>
      <c r="H50">
        <f t="shared" si="0"/>
        <v>0</v>
      </c>
      <c r="I50">
        <f t="shared" si="0"/>
        <v>0</v>
      </c>
      <c r="J50">
        <f t="shared" si="0"/>
        <v>0</v>
      </c>
      <c r="K50">
        <f t="shared" si="0"/>
        <v>0</v>
      </c>
      <c r="L50">
        <f t="shared" si="0"/>
        <v>0</v>
      </c>
      <c r="M50">
        <f t="shared" si="0"/>
        <v>0</v>
      </c>
      <c r="N50">
        <f t="shared" si="0"/>
        <v>0</v>
      </c>
      <c r="O50">
        <f t="shared" si="0"/>
        <v>0</v>
      </c>
      <c r="P50">
        <f t="shared" si="0"/>
        <v>0</v>
      </c>
      <c r="S50" s="2" t="s">
        <v>61</v>
      </c>
      <c r="T50">
        <f t="shared" ref="T50:AH50" si="11">T31-T12</f>
        <v>0</v>
      </c>
      <c r="U50">
        <f t="shared" si="11"/>
        <v>0</v>
      </c>
      <c r="V50">
        <f t="shared" si="11"/>
        <v>0.20302259054592572</v>
      </c>
      <c r="W50">
        <f t="shared" si="11"/>
        <v>0</v>
      </c>
      <c r="X50">
        <f t="shared" si="11"/>
        <v>0</v>
      </c>
      <c r="Y50">
        <f t="shared" si="11"/>
        <v>0</v>
      </c>
      <c r="Z50">
        <f t="shared" si="11"/>
        <v>0</v>
      </c>
      <c r="AA50">
        <f t="shared" si="11"/>
        <v>0</v>
      </c>
      <c r="AB50">
        <f t="shared" si="11"/>
        <v>0</v>
      </c>
      <c r="AC50">
        <f t="shared" si="11"/>
        <v>0</v>
      </c>
      <c r="AD50">
        <f t="shared" si="11"/>
        <v>0</v>
      </c>
      <c r="AE50">
        <f t="shared" si="11"/>
        <v>0</v>
      </c>
      <c r="AF50">
        <f t="shared" si="11"/>
        <v>0</v>
      </c>
      <c r="AG50">
        <f t="shared" si="11"/>
        <v>0</v>
      </c>
      <c r="AH50">
        <f t="shared" si="11"/>
        <v>0</v>
      </c>
    </row>
    <row r="51" spans="1:35" x14ac:dyDescent="0.3">
      <c r="A51" s="2" t="s">
        <v>13</v>
      </c>
      <c r="B51">
        <f t="shared" si="2"/>
        <v>0</v>
      </c>
      <c r="C51">
        <f t="shared" si="0"/>
        <v>0</v>
      </c>
      <c r="D51">
        <f t="shared" si="0"/>
        <v>0</v>
      </c>
      <c r="E51">
        <f t="shared" si="0"/>
        <v>0</v>
      </c>
      <c r="F51">
        <f t="shared" si="0"/>
        <v>0</v>
      </c>
      <c r="G51">
        <f t="shared" si="0"/>
        <v>0</v>
      </c>
      <c r="H51">
        <f t="shared" si="0"/>
        <v>0</v>
      </c>
      <c r="I51">
        <f t="shared" si="0"/>
        <v>0.66523509211515619</v>
      </c>
      <c r="J51">
        <f t="shared" si="0"/>
        <v>0</v>
      </c>
      <c r="K51">
        <f t="shared" si="0"/>
        <v>0</v>
      </c>
      <c r="L51">
        <f t="shared" si="0"/>
        <v>0</v>
      </c>
      <c r="M51">
        <f t="shared" si="0"/>
        <v>0</v>
      </c>
      <c r="N51">
        <f t="shared" si="0"/>
        <v>0</v>
      </c>
      <c r="O51">
        <f t="shared" si="0"/>
        <v>0</v>
      </c>
      <c r="P51">
        <f t="shared" si="0"/>
        <v>0</v>
      </c>
      <c r="S51" s="2" t="s">
        <v>13</v>
      </c>
      <c r="T51">
        <f t="shared" ref="T51:AH51" si="12">T32-T13</f>
        <v>0</v>
      </c>
      <c r="U51">
        <f t="shared" si="12"/>
        <v>0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0</v>
      </c>
      <c r="AA51">
        <f t="shared" si="12"/>
        <v>1.3059764481188942</v>
      </c>
      <c r="AB51">
        <f t="shared" si="12"/>
        <v>0</v>
      </c>
      <c r="AC51">
        <f t="shared" si="12"/>
        <v>0</v>
      </c>
      <c r="AD51">
        <f t="shared" si="12"/>
        <v>0</v>
      </c>
      <c r="AE51">
        <f t="shared" si="12"/>
        <v>0</v>
      </c>
      <c r="AF51">
        <f t="shared" si="12"/>
        <v>0</v>
      </c>
      <c r="AG51">
        <f t="shared" si="12"/>
        <v>0</v>
      </c>
      <c r="AH51">
        <f t="shared" si="12"/>
        <v>0</v>
      </c>
    </row>
    <row r="52" spans="1:35" x14ac:dyDescent="0.3">
      <c r="A52" s="2" t="s">
        <v>62</v>
      </c>
      <c r="B52">
        <f t="shared" si="2"/>
        <v>0</v>
      </c>
      <c r="C52">
        <f t="shared" si="0"/>
        <v>0</v>
      </c>
      <c r="D52">
        <f t="shared" si="0"/>
        <v>0</v>
      </c>
      <c r="E52">
        <f t="shared" si="0"/>
        <v>0</v>
      </c>
      <c r="F52">
        <f t="shared" si="0"/>
        <v>0</v>
      </c>
      <c r="G52">
        <f t="shared" si="0"/>
        <v>0</v>
      </c>
      <c r="H52">
        <f t="shared" si="0"/>
        <v>0</v>
      </c>
      <c r="I52">
        <f t="shared" si="0"/>
        <v>0</v>
      </c>
      <c r="J52">
        <f t="shared" si="0"/>
        <v>0.56884077103945763</v>
      </c>
      <c r="K52">
        <f t="shared" si="0"/>
        <v>0</v>
      </c>
      <c r="L52">
        <f t="shared" si="0"/>
        <v>0</v>
      </c>
      <c r="M52">
        <f t="shared" si="0"/>
        <v>0</v>
      </c>
      <c r="N52">
        <f t="shared" si="0"/>
        <v>0</v>
      </c>
      <c r="O52">
        <f t="shared" si="0"/>
        <v>0</v>
      </c>
      <c r="P52">
        <f t="shared" si="0"/>
        <v>0</v>
      </c>
      <c r="S52" s="2" t="s">
        <v>62</v>
      </c>
      <c r="T52">
        <f t="shared" ref="T52:AH52" si="13">T33-T14</f>
        <v>0</v>
      </c>
      <c r="U52">
        <f t="shared" si="13"/>
        <v>0</v>
      </c>
      <c r="V52">
        <f t="shared" si="13"/>
        <v>0</v>
      </c>
      <c r="W52">
        <f t="shared" si="13"/>
        <v>0</v>
      </c>
      <c r="X52">
        <f t="shared" si="13"/>
        <v>0</v>
      </c>
      <c r="Y52">
        <f t="shared" si="13"/>
        <v>0</v>
      </c>
      <c r="Z52">
        <f t="shared" si="13"/>
        <v>0</v>
      </c>
      <c r="AA52">
        <f t="shared" si="13"/>
        <v>0</v>
      </c>
      <c r="AB52">
        <f t="shared" si="13"/>
        <v>1.0570491593665179</v>
      </c>
      <c r="AC52">
        <f t="shared" si="13"/>
        <v>0</v>
      </c>
      <c r="AD52">
        <f t="shared" si="13"/>
        <v>0</v>
      </c>
      <c r="AE52">
        <f t="shared" si="13"/>
        <v>0</v>
      </c>
      <c r="AF52">
        <f t="shared" si="13"/>
        <v>0</v>
      </c>
      <c r="AG52">
        <f t="shared" si="13"/>
        <v>0</v>
      </c>
      <c r="AH52">
        <f t="shared" si="13"/>
        <v>0</v>
      </c>
    </row>
    <row r="53" spans="1:35" x14ac:dyDescent="0.3">
      <c r="A53" s="2" t="s">
        <v>14</v>
      </c>
      <c r="B53">
        <f t="shared" si="2"/>
        <v>0</v>
      </c>
      <c r="C53">
        <f t="shared" si="0"/>
        <v>0.66388662697230716</v>
      </c>
      <c r="D53">
        <f t="shared" si="0"/>
        <v>5.8612812997616559E-3</v>
      </c>
      <c r="E53">
        <f t="shared" si="0"/>
        <v>0</v>
      </c>
      <c r="F53">
        <f t="shared" si="0"/>
        <v>0</v>
      </c>
      <c r="G53">
        <f t="shared" si="0"/>
        <v>0</v>
      </c>
      <c r="H53">
        <f t="shared" si="0"/>
        <v>0</v>
      </c>
      <c r="I53">
        <f t="shared" si="0"/>
        <v>1.5546212432710238</v>
      </c>
      <c r="J53">
        <f t="shared" si="0"/>
        <v>0</v>
      </c>
      <c r="K53">
        <f t="shared" si="0"/>
        <v>0</v>
      </c>
      <c r="L53">
        <f t="shared" si="0"/>
        <v>-0.98971830529680682</v>
      </c>
      <c r="M53">
        <f t="shared" si="0"/>
        <v>0</v>
      </c>
      <c r="N53">
        <f t="shared" si="0"/>
        <v>0</v>
      </c>
      <c r="O53">
        <f t="shared" si="0"/>
        <v>0</v>
      </c>
      <c r="P53">
        <f t="shared" si="0"/>
        <v>0</v>
      </c>
      <c r="S53" s="2" t="s">
        <v>14</v>
      </c>
      <c r="T53">
        <f t="shared" ref="T53:AH53" si="14">T34-T15</f>
        <v>0</v>
      </c>
      <c r="U53">
        <f t="shared" si="14"/>
        <v>1.6788785753056112</v>
      </c>
      <c r="V53">
        <f t="shared" si="14"/>
        <v>-0.20487861070834276</v>
      </c>
      <c r="W53">
        <f t="shared" si="14"/>
        <v>0</v>
      </c>
      <c r="X53">
        <f t="shared" si="14"/>
        <v>0</v>
      </c>
      <c r="Y53">
        <f t="shared" si="14"/>
        <v>0</v>
      </c>
      <c r="Z53">
        <f t="shared" si="14"/>
        <v>0</v>
      </c>
      <c r="AA53">
        <f t="shared" si="14"/>
        <v>2.8057114258740339</v>
      </c>
      <c r="AB53">
        <f t="shared" si="14"/>
        <v>0</v>
      </c>
      <c r="AC53">
        <f t="shared" si="14"/>
        <v>0</v>
      </c>
      <c r="AD53">
        <f t="shared" si="14"/>
        <v>-3.005876210300392</v>
      </c>
      <c r="AE53">
        <f t="shared" si="14"/>
        <v>0</v>
      </c>
      <c r="AF53">
        <f t="shared" si="14"/>
        <v>0</v>
      </c>
      <c r="AG53">
        <f t="shared" si="14"/>
        <v>0</v>
      </c>
      <c r="AH53">
        <f t="shared" si="14"/>
        <v>0</v>
      </c>
    </row>
    <row r="54" spans="1:35" x14ac:dyDescent="0.3">
      <c r="A54" s="2" t="s">
        <v>15</v>
      </c>
      <c r="B54">
        <f t="shared" si="2"/>
        <v>0</v>
      </c>
      <c r="C54">
        <f t="shared" si="0"/>
        <v>0</v>
      </c>
      <c r="D54">
        <f t="shared" si="0"/>
        <v>0</v>
      </c>
      <c r="E54">
        <f t="shared" si="0"/>
        <v>0</v>
      </c>
      <c r="F54">
        <f t="shared" si="0"/>
        <v>0</v>
      </c>
      <c r="G54">
        <f t="shared" si="0"/>
        <v>0</v>
      </c>
      <c r="H54">
        <f t="shared" si="0"/>
        <v>-0.45496917019653749</v>
      </c>
      <c r="I54">
        <f t="shared" si="0"/>
        <v>2.5602335226679531</v>
      </c>
      <c r="J54">
        <f t="shared" si="0"/>
        <v>0</v>
      </c>
      <c r="K54">
        <f t="shared" si="0"/>
        <v>0</v>
      </c>
      <c r="L54">
        <f t="shared" si="0"/>
        <v>-1.6114039422033117</v>
      </c>
      <c r="M54">
        <f t="shared" si="0"/>
        <v>0</v>
      </c>
      <c r="N54">
        <f t="shared" si="0"/>
        <v>0</v>
      </c>
      <c r="O54">
        <f t="shared" si="0"/>
        <v>0</v>
      </c>
      <c r="P54">
        <f t="shared" si="0"/>
        <v>0</v>
      </c>
      <c r="S54" s="2" t="s">
        <v>15</v>
      </c>
      <c r="T54">
        <f t="shared" ref="T54:AH54" si="15">T35-T16</f>
        <v>0</v>
      </c>
      <c r="U54">
        <f t="shared" si="15"/>
        <v>0</v>
      </c>
      <c r="V54">
        <f t="shared" si="15"/>
        <v>0</v>
      </c>
      <c r="W54">
        <f t="shared" si="15"/>
        <v>0</v>
      </c>
      <c r="X54">
        <f t="shared" si="15"/>
        <v>0</v>
      </c>
      <c r="Y54">
        <f t="shared" si="15"/>
        <v>0</v>
      </c>
      <c r="Z54">
        <f t="shared" si="15"/>
        <v>-0.507893332943811</v>
      </c>
      <c r="AA54">
        <f t="shared" si="15"/>
        <v>3.9310027163728263</v>
      </c>
      <c r="AB54">
        <f t="shared" si="15"/>
        <v>0</v>
      </c>
      <c r="AC54">
        <f t="shared" si="15"/>
        <v>0</v>
      </c>
      <c r="AD54">
        <f t="shared" si="15"/>
        <v>-1.2810578108970241</v>
      </c>
      <c r="AE54">
        <f t="shared" si="15"/>
        <v>0</v>
      </c>
      <c r="AF54">
        <f t="shared" si="15"/>
        <v>0</v>
      </c>
      <c r="AG54">
        <f t="shared" si="15"/>
        <v>0</v>
      </c>
      <c r="AH54">
        <f t="shared" si="15"/>
        <v>0</v>
      </c>
    </row>
    <row r="55" spans="1:35" x14ac:dyDescent="0.3">
      <c r="A55" s="2" t="s">
        <v>16</v>
      </c>
      <c r="B55">
        <f t="shared" si="2"/>
        <v>0</v>
      </c>
      <c r="C55">
        <f t="shared" si="0"/>
        <v>0</v>
      </c>
      <c r="D55">
        <f t="shared" si="0"/>
        <v>0</v>
      </c>
      <c r="E55">
        <f t="shared" si="0"/>
        <v>0</v>
      </c>
      <c r="F55">
        <f t="shared" si="0"/>
        <v>0</v>
      </c>
      <c r="G55">
        <f t="shared" si="0"/>
        <v>0</v>
      </c>
      <c r="H55">
        <f t="shared" si="0"/>
        <v>0</v>
      </c>
      <c r="I55">
        <f t="shared" si="0"/>
        <v>0</v>
      </c>
      <c r="J55">
        <f t="shared" si="0"/>
        <v>0</v>
      </c>
      <c r="K55">
        <f t="shared" si="0"/>
        <v>0</v>
      </c>
      <c r="L55">
        <f t="shared" si="0"/>
        <v>0</v>
      </c>
      <c r="M55">
        <f t="shared" si="0"/>
        <v>0</v>
      </c>
      <c r="N55">
        <f t="shared" si="0"/>
        <v>0</v>
      </c>
      <c r="O55">
        <f t="shared" si="0"/>
        <v>0</v>
      </c>
      <c r="P55">
        <f t="shared" si="0"/>
        <v>0</v>
      </c>
      <c r="S55" s="2" t="s">
        <v>16</v>
      </c>
      <c r="T55">
        <f t="shared" ref="T55:AH55" si="16">T36-T17</f>
        <v>0</v>
      </c>
      <c r="U55">
        <f t="shared" si="16"/>
        <v>0</v>
      </c>
      <c r="V55">
        <f t="shared" si="16"/>
        <v>0</v>
      </c>
      <c r="W55">
        <f t="shared" si="16"/>
        <v>0</v>
      </c>
      <c r="X55">
        <f t="shared" si="16"/>
        <v>0</v>
      </c>
      <c r="Y55">
        <f t="shared" si="16"/>
        <v>0</v>
      </c>
      <c r="Z55">
        <f t="shared" si="16"/>
        <v>0</v>
      </c>
      <c r="AA55">
        <f t="shared" si="16"/>
        <v>0</v>
      </c>
      <c r="AB55">
        <f t="shared" si="16"/>
        <v>0</v>
      </c>
      <c r="AC55">
        <f t="shared" si="16"/>
        <v>0</v>
      </c>
      <c r="AD55">
        <f t="shared" si="16"/>
        <v>0</v>
      </c>
      <c r="AE55">
        <f t="shared" si="16"/>
        <v>0</v>
      </c>
      <c r="AF55">
        <f t="shared" si="16"/>
        <v>0</v>
      </c>
      <c r="AG55">
        <f t="shared" si="16"/>
        <v>0</v>
      </c>
      <c r="AH55">
        <f t="shared" si="16"/>
        <v>0</v>
      </c>
    </row>
    <row r="56" spans="1:35" x14ac:dyDescent="0.3">
      <c r="A56" s="2"/>
      <c r="S56" s="2"/>
    </row>
    <row r="58" spans="1:35" x14ac:dyDescent="0.3">
      <c r="A58" s="18" t="s">
        <v>24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S58" s="18" t="s">
        <v>24</v>
      </c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5" x14ac:dyDescent="0.3">
      <c r="A59" s="2" t="s">
        <v>36</v>
      </c>
      <c r="B59">
        <f>AVERAGE(B41:Q56)</f>
        <v>1.8951409282806347E-2</v>
      </c>
      <c r="C59" t="s">
        <v>37</v>
      </c>
      <c r="D59">
        <f>MEDIAN(B41:Q56)</f>
        <v>0</v>
      </c>
      <c r="E59" t="s">
        <v>40</v>
      </c>
      <c r="F59">
        <f>MIN(B41:Q56)</f>
        <v>-4.4333228883170213</v>
      </c>
      <c r="G59" t="s">
        <v>41</v>
      </c>
      <c r="H59">
        <f>MAX(B41:Q56)</f>
        <v>4.1123382734345952</v>
      </c>
      <c r="I59" t="s">
        <v>38</v>
      </c>
      <c r="J59" cm="1">
        <f t="array" ref="J59">MIN(IF(B41:P55&lt;&gt;0,ABS(B41:P55)))</f>
        <v>2.6411275483266827E-3</v>
      </c>
      <c r="K59" t="s">
        <v>39</v>
      </c>
      <c r="L59" cm="1">
        <f t="array" ref="L59">MAX(ABS(B41:Q56))</f>
        <v>4.4333228883170213</v>
      </c>
      <c r="S59" s="2" t="s">
        <v>36</v>
      </c>
      <c r="T59">
        <f>AVERAGE(T41:AI56)</f>
        <v>3.5960717293214879E-2</v>
      </c>
      <c r="U59" t="s">
        <v>37</v>
      </c>
      <c r="V59">
        <f>MEDIAN(T41:AI56)</f>
        <v>0</v>
      </c>
      <c r="W59" t="s">
        <v>40</v>
      </c>
      <c r="X59">
        <f>MIN(T41:AI56)</f>
        <v>-6.9895485471884875</v>
      </c>
      <c r="Y59" t="s">
        <v>41</v>
      </c>
      <c r="Z59">
        <f>MAX(T41:AI56)</f>
        <v>6.6381770041336345</v>
      </c>
      <c r="AA59" t="s">
        <v>38</v>
      </c>
      <c r="AB59" cm="1">
        <f t="array" ref="AB59">MIN(IF(T41:AH55&lt;&gt;0,ABS(T41:AH55)))</f>
        <v>0.11988124214005573</v>
      </c>
      <c r="AC59" t="s">
        <v>39</v>
      </c>
      <c r="AD59" cm="1">
        <f t="array" ref="AD59">MAX(ABS(T41:AI56))</f>
        <v>6.9895485471884875</v>
      </c>
    </row>
    <row r="61" spans="1:35" x14ac:dyDescent="0.3">
      <c r="A61" s="18" t="s">
        <v>63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S61" s="18" t="s">
        <v>64</v>
      </c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</row>
    <row r="62" spans="1:35" x14ac:dyDescent="0.3">
      <c r="A62" s="2" t="s">
        <v>29</v>
      </c>
      <c r="B62" s="2" t="s">
        <v>5</v>
      </c>
      <c r="C62" s="2" t="s">
        <v>6</v>
      </c>
      <c r="D62" s="2" t="s">
        <v>7</v>
      </c>
      <c r="E62" s="2" t="s">
        <v>60</v>
      </c>
      <c r="F62" s="2" t="s">
        <v>8</v>
      </c>
      <c r="G62" s="2" t="s">
        <v>9</v>
      </c>
      <c r="H62" s="2" t="s">
        <v>10</v>
      </c>
      <c r="I62" s="2" t="s">
        <v>11</v>
      </c>
      <c r="J62" s="2" t="s">
        <v>12</v>
      </c>
      <c r="K62" s="2" t="s">
        <v>61</v>
      </c>
      <c r="L62" s="2" t="s">
        <v>13</v>
      </c>
      <c r="M62" s="2" t="s">
        <v>62</v>
      </c>
      <c r="N62" s="2" t="s">
        <v>14</v>
      </c>
      <c r="O62" s="2" t="s">
        <v>15</v>
      </c>
      <c r="P62" s="2" t="s">
        <v>16</v>
      </c>
      <c r="Q62" s="2"/>
      <c r="S62" s="2" t="s">
        <v>29</v>
      </c>
      <c r="T62" s="2" t="s">
        <v>5</v>
      </c>
      <c r="U62" s="2" t="s">
        <v>6</v>
      </c>
      <c r="V62" s="2" t="s">
        <v>7</v>
      </c>
      <c r="W62" s="2" t="s">
        <v>60</v>
      </c>
      <c r="X62" s="2" t="s">
        <v>8</v>
      </c>
      <c r="Y62" s="2" t="s">
        <v>9</v>
      </c>
      <c r="Z62" s="2" t="s">
        <v>10</v>
      </c>
      <c r="AA62" s="2" t="s">
        <v>11</v>
      </c>
      <c r="AB62" s="2" t="s">
        <v>12</v>
      </c>
      <c r="AC62" s="2" t="s">
        <v>61</v>
      </c>
      <c r="AD62" s="2" t="s">
        <v>13</v>
      </c>
      <c r="AE62" s="2" t="s">
        <v>62</v>
      </c>
      <c r="AF62" s="2" t="s">
        <v>14</v>
      </c>
      <c r="AG62" s="2" t="s">
        <v>15</v>
      </c>
      <c r="AH62" s="2" t="s">
        <v>16</v>
      </c>
      <c r="AI62" s="2"/>
    </row>
    <row r="63" spans="1:35" x14ac:dyDescent="0.3">
      <c r="A63" s="2" t="s">
        <v>5</v>
      </c>
      <c r="B63">
        <f t="shared" ref="B63:B77" si="17">B22-T22</f>
        <v>0</v>
      </c>
      <c r="C63">
        <f t="shared" ref="C63:C77" si="18">C22-U22</f>
        <v>0</v>
      </c>
      <c r="D63">
        <f t="shared" ref="D63:D77" si="19">D22-V22</f>
        <v>0</v>
      </c>
      <c r="E63">
        <f t="shared" ref="E63:E77" si="20">E22-W22</f>
        <v>0</v>
      </c>
      <c r="F63">
        <f t="shared" ref="F63:F77" si="21">F22-X22</f>
        <v>0</v>
      </c>
      <c r="G63">
        <f t="shared" ref="G63:G77" si="22">G22-Y22</f>
        <v>0</v>
      </c>
      <c r="H63">
        <f t="shared" ref="H63:H77" si="23">H22-Z22</f>
        <v>0</v>
      </c>
      <c r="I63">
        <f t="shared" ref="I63:I77" si="24">I22-AA22</f>
        <v>0</v>
      </c>
      <c r="J63">
        <f t="shared" ref="J63:J77" si="25">J22-AB22</f>
        <v>0</v>
      </c>
      <c r="K63">
        <f t="shared" ref="K63:K77" si="26">K22-AC22</f>
        <v>0</v>
      </c>
      <c r="L63">
        <f t="shared" ref="L63:L77" si="27">L22-AD22</f>
        <v>0</v>
      </c>
      <c r="M63">
        <f t="shared" ref="M63:M77" si="28">M22-AE22</f>
        <v>0</v>
      </c>
      <c r="N63">
        <f t="shared" ref="N63:N77" si="29">N22-AF22</f>
        <v>0</v>
      </c>
      <c r="O63">
        <f t="shared" ref="O63:O77" si="30">O22-AG22</f>
        <v>0</v>
      </c>
      <c r="P63">
        <f t="shared" ref="P63:P77" si="31">P22-AH22</f>
        <v>1.40003025843769E-2</v>
      </c>
      <c r="S63" s="2" t="s">
        <v>5</v>
      </c>
      <c r="T63">
        <f t="shared" ref="T63:T77" si="32">B3-T3</f>
        <v>0</v>
      </c>
      <c r="U63">
        <f t="shared" ref="U63:U77" si="33">C3-U3</f>
        <v>0</v>
      </c>
      <c r="V63">
        <f t="shared" ref="V63:V77" si="34">D3-V3</f>
        <v>0</v>
      </c>
      <c r="W63">
        <f t="shared" ref="W63:W77" si="35">E3-W3</f>
        <v>0</v>
      </c>
      <c r="X63">
        <f t="shared" ref="X63:X77" si="36">F3-X3</f>
        <v>0</v>
      </c>
      <c r="Y63">
        <f t="shared" ref="Y63:Y77" si="37">G3-Y3</f>
        <v>0</v>
      </c>
      <c r="Z63">
        <f t="shared" ref="Z63:Z77" si="38">H3-Z3</f>
        <v>0</v>
      </c>
      <c r="AA63">
        <f t="shared" ref="AA63:AA77" si="39">I3-AA3</f>
        <v>0</v>
      </c>
      <c r="AB63">
        <f t="shared" ref="AB63:AB77" si="40">J3-AB3</f>
        <v>0</v>
      </c>
      <c r="AC63">
        <f t="shared" ref="AC63:AC77" si="41">K3-AC3</f>
        <v>0</v>
      </c>
      <c r="AD63">
        <f t="shared" ref="AD63:AD77" si="42">L3-AD3</f>
        <v>0</v>
      </c>
      <c r="AE63">
        <f t="shared" ref="AE63:AE77" si="43">M3-AE3</f>
        <v>0</v>
      </c>
      <c r="AF63">
        <f t="shared" ref="AF63:AF77" si="44">N3-AF3</f>
        <v>0</v>
      </c>
      <c r="AG63">
        <f t="shared" ref="AG63:AG77" si="45">O3-AG3</f>
        <v>0</v>
      </c>
      <c r="AH63">
        <f t="shared" ref="AH63:AH77" si="46">P3-AH3</f>
        <v>0.11035836193497139</v>
      </c>
    </row>
    <row r="64" spans="1:35" x14ac:dyDescent="0.3">
      <c r="A64" s="2" t="s">
        <v>6</v>
      </c>
      <c r="B64">
        <f t="shared" si="17"/>
        <v>0.10756379928089488</v>
      </c>
      <c r="C64">
        <f t="shared" si="18"/>
        <v>0</v>
      </c>
      <c r="D64">
        <f t="shared" si="19"/>
        <v>0</v>
      </c>
      <c r="E64">
        <f t="shared" si="20"/>
        <v>0</v>
      </c>
      <c r="F64">
        <f t="shared" si="21"/>
        <v>0</v>
      </c>
      <c r="G64">
        <f t="shared" si="22"/>
        <v>0</v>
      </c>
      <c r="H64">
        <f t="shared" si="23"/>
        <v>0</v>
      </c>
      <c r="I64">
        <f t="shared" si="24"/>
        <v>0.31070135485367145</v>
      </c>
      <c r="J64">
        <f t="shared" si="25"/>
        <v>0</v>
      </c>
      <c r="K64">
        <f t="shared" si="26"/>
        <v>0</v>
      </c>
      <c r="L64">
        <f t="shared" si="27"/>
        <v>0</v>
      </c>
      <c r="M64">
        <f t="shared" si="28"/>
        <v>0.64954623181159832</v>
      </c>
      <c r="N64">
        <f t="shared" si="29"/>
        <v>0</v>
      </c>
      <c r="O64">
        <f t="shared" si="30"/>
        <v>0</v>
      </c>
      <c r="P64">
        <f t="shared" si="31"/>
        <v>0</v>
      </c>
      <c r="S64" s="2" t="s">
        <v>6</v>
      </c>
      <c r="T64">
        <f t="shared" si="32"/>
        <v>0.1537612541662785</v>
      </c>
      <c r="U64">
        <f t="shared" si="33"/>
        <v>0</v>
      </c>
      <c r="V64">
        <f t="shared" si="34"/>
        <v>0</v>
      </c>
      <c r="W64">
        <f t="shared" si="35"/>
        <v>0</v>
      </c>
      <c r="X64">
        <f t="shared" si="36"/>
        <v>0</v>
      </c>
      <c r="Y64">
        <f t="shared" si="37"/>
        <v>0</v>
      </c>
      <c r="Z64">
        <f t="shared" si="38"/>
        <v>0</v>
      </c>
      <c r="AA64">
        <f t="shared" si="39"/>
        <v>0.91687356051415181</v>
      </c>
      <c r="AB64">
        <f t="shared" si="40"/>
        <v>0</v>
      </c>
      <c r="AC64">
        <f t="shared" si="41"/>
        <v>0</v>
      </c>
      <c r="AD64">
        <f t="shared" si="42"/>
        <v>0</v>
      </c>
      <c r="AE64">
        <f t="shared" si="43"/>
        <v>-2.3475587376964859</v>
      </c>
      <c r="AF64">
        <f t="shared" si="44"/>
        <v>0</v>
      </c>
      <c r="AG64">
        <f t="shared" si="45"/>
        <v>0</v>
      </c>
      <c r="AH64">
        <f t="shared" si="46"/>
        <v>0</v>
      </c>
    </row>
    <row r="65" spans="1:34" x14ac:dyDescent="0.3">
      <c r="A65" s="2" t="s">
        <v>7</v>
      </c>
      <c r="B65">
        <f t="shared" si="17"/>
        <v>0</v>
      </c>
      <c r="C65">
        <f t="shared" si="18"/>
        <v>0</v>
      </c>
      <c r="D65">
        <f t="shared" si="19"/>
        <v>0</v>
      </c>
      <c r="E65">
        <f t="shared" si="20"/>
        <v>0</v>
      </c>
      <c r="F65">
        <f t="shared" si="21"/>
        <v>0</v>
      </c>
      <c r="G65">
        <f t="shared" si="22"/>
        <v>0</v>
      </c>
      <c r="H65">
        <f t="shared" si="23"/>
        <v>0.18967749571304393</v>
      </c>
      <c r="I65">
        <f t="shared" si="24"/>
        <v>-0.5401567524669213</v>
      </c>
      <c r="J65">
        <f t="shared" si="25"/>
        <v>0</v>
      </c>
      <c r="K65">
        <f t="shared" si="26"/>
        <v>0</v>
      </c>
      <c r="L65">
        <f t="shared" si="27"/>
        <v>0</v>
      </c>
      <c r="M65">
        <f t="shared" si="28"/>
        <v>0</v>
      </c>
      <c r="N65">
        <f t="shared" si="29"/>
        <v>0</v>
      </c>
      <c r="O65">
        <f t="shared" si="30"/>
        <v>0</v>
      </c>
      <c r="P65">
        <f t="shared" si="31"/>
        <v>0</v>
      </c>
      <c r="S65" s="2" t="s">
        <v>7</v>
      </c>
      <c r="T65">
        <f t="shared" si="32"/>
        <v>0</v>
      </c>
      <c r="U65">
        <f t="shared" si="33"/>
        <v>0</v>
      </c>
      <c r="V65">
        <f t="shared" si="34"/>
        <v>0</v>
      </c>
      <c r="W65">
        <f t="shared" si="35"/>
        <v>0</v>
      </c>
      <c r="X65">
        <f t="shared" si="36"/>
        <v>0</v>
      </c>
      <c r="Y65">
        <f t="shared" si="37"/>
        <v>0</v>
      </c>
      <c r="Z65">
        <f t="shared" si="38"/>
        <v>-0.17340949260715566</v>
      </c>
      <c r="AA65">
        <f t="shared" si="39"/>
        <v>0.43641737188981033</v>
      </c>
      <c r="AB65">
        <f t="shared" si="40"/>
        <v>0</v>
      </c>
      <c r="AC65">
        <f t="shared" si="41"/>
        <v>0</v>
      </c>
      <c r="AD65">
        <f t="shared" si="42"/>
        <v>0</v>
      </c>
      <c r="AE65">
        <f t="shared" si="43"/>
        <v>0</v>
      </c>
      <c r="AF65">
        <f t="shared" si="44"/>
        <v>0</v>
      </c>
      <c r="AG65">
        <f t="shared" si="45"/>
        <v>0</v>
      </c>
      <c r="AH65">
        <f t="shared" si="46"/>
        <v>0</v>
      </c>
    </row>
    <row r="66" spans="1:34" x14ac:dyDescent="0.3">
      <c r="A66" s="2" t="s">
        <v>60</v>
      </c>
      <c r="B66">
        <f t="shared" si="17"/>
        <v>0</v>
      </c>
      <c r="C66">
        <f t="shared" si="18"/>
        <v>0</v>
      </c>
      <c r="D66">
        <f t="shared" si="19"/>
        <v>0</v>
      </c>
      <c r="E66">
        <f t="shared" si="20"/>
        <v>0</v>
      </c>
      <c r="F66">
        <f t="shared" si="21"/>
        <v>0</v>
      </c>
      <c r="G66">
        <f t="shared" si="22"/>
        <v>0</v>
      </c>
      <c r="H66">
        <f t="shared" si="23"/>
        <v>0</v>
      </c>
      <c r="I66">
        <f t="shared" si="24"/>
        <v>0</v>
      </c>
      <c r="J66">
        <f t="shared" si="25"/>
        <v>0</v>
      </c>
      <c r="K66">
        <f t="shared" si="26"/>
        <v>0</v>
      </c>
      <c r="L66">
        <f t="shared" si="27"/>
        <v>0</v>
      </c>
      <c r="M66">
        <f t="shared" si="28"/>
        <v>0</v>
      </c>
      <c r="N66">
        <f t="shared" si="29"/>
        <v>0</v>
      </c>
      <c r="O66">
        <f t="shared" si="30"/>
        <v>0</v>
      </c>
      <c r="P66">
        <f t="shared" si="31"/>
        <v>0</v>
      </c>
      <c r="S66" s="2" t="s">
        <v>60</v>
      </c>
      <c r="T66">
        <f t="shared" si="32"/>
        <v>0</v>
      </c>
      <c r="U66">
        <f t="shared" si="33"/>
        <v>0</v>
      </c>
      <c r="V66">
        <f t="shared" si="34"/>
        <v>0</v>
      </c>
      <c r="W66">
        <f t="shared" si="35"/>
        <v>0</v>
      </c>
      <c r="X66">
        <f t="shared" si="36"/>
        <v>0</v>
      </c>
      <c r="Y66">
        <f t="shared" si="37"/>
        <v>0</v>
      </c>
      <c r="Z66">
        <f t="shared" si="38"/>
        <v>0</v>
      </c>
      <c r="AA66">
        <f t="shared" si="39"/>
        <v>0</v>
      </c>
      <c r="AB66">
        <f t="shared" si="40"/>
        <v>0</v>
      </c>
      <c r="AC66">
        <f t="shared" si="41"/>
        <v>0</v>
      </c>
      <c r="AD66">
        <f t="shared" si="42"/>
        <v>0</v>
      </c>
      <c r="AE66">
        <f t="shared" si="43"/>
        <v>0</v>
      </c>
      <c r="AF66">
        <f t="shared" si="44"/>
        <v>0</v>
      </c>
      <c r="AG66">
        <f t="shared" si="45"/>
        <v>0</v>
      </c>
      <c r="AH66">
        <f t="shared" si="46"/>
        <v>0</v>
      </c>
    </row>
    <row r="67" spans="1:34" x14ac:dyDescent="0.3">
      <c r="A67" s="2" t="s">
        <v>8</v>
      </c>
      <c r="B67">
        <f t="shared" si="17"/>
        <v>0</v>
      </c>
      <c r="C67">
        <f t="shared" si="18"/>
        <v>0</v>
      </c>
      <c r="D67">
        <f t="shared" si="19"/>
        <v>0</v>
      </c>
      <c r="E67">
        <f t="shared" si="20"/>
        <v>0</v>
      </c>
      <c r="F67">
        <f t="shared" si="21"/>
        <v>0</v>
      </c>
      <c r="G67">
        <f t="shared" si="22"/>
        <v>0</v>
      </c>
      <c r="H67">
        <f t="shared" si="23"/>
        <v>0</v>
      </c>
      <c r="I67">
        <f t="shared" si="24"/>
        <v>0</v>
      </c>
      <c r="J67">
        <f t="shared" si="25"/>
        <v>0</v>
      </c>
      <c r="K67">
        <f t="shared" si="26"/>
        <v>0</v>
      </c>
      <c r="L67">
        <f t="shared" si="27"/>
        <v>0</v>
      </c>
      <c r="M67">
        <f t="shared" si="28"/>
        <v>0</v>
      </c>
      <c r="N67">
        <f t="shared" si="29"/>
        <v>-1.0577820104206488</v>
      </c>
      <c r="O67">
        <f t="shared" si="30"/>
        <v>0</v>
      </c>
      <c r="P67">
        <f t="shared" si="31"/>
        <v>0</v>
      </c>
      <c r="S67" s="2" t="s">
        <v>8</v>
      </c>
      <c r="T67">
        <f t="shared" si="32"/>
        <v>0</v>
      </c>
      <c r="U67">
        <f t="shared" si="33"/>
        <v>0</v>
      </c>
      <c r="V67">
        <f t="shared" si="34"/>
        <v>0</v>
      </c>
      <c r="W67">
        <f t="shared" si="35"/>
        <v>0</v>
      </c>
      <c r="X67">
        <f t="shared" si="36"/>
        <v>0</v>
      </c>
      <c r="Y67">
        <f t="shared" si="37"/>
        <v>0</v>
      </c>
      <c r="Z67">
        <f t="shared" si="38"/>
        <v>0</v>
      </c>
      <c r="AA67">
        <f t="shared" si="39"/>
        <v>0</v>
      </c>
      <c r="AB67">
        <f t="shared" si="40"/>
        <v>0</v>
      </c>
      <c r="AC67">
        <f t="shared" si="41"/>
        <v>0</v>
      </c>
      <c r="AD67">
        <f t="shared" si="42"/>
        <v>0</v>
      </c>
      <c r="AE67">
        <f t="shared" si="43"/>
        <v>0</v>
      </c>
      <c r="AF67">
        <f t="shared" si="44"/>
        <v>-0.77198264021855423</v>
      </c>
      <c r="AG67">
        <f t="shared" si="45"/>
        <v>0</v>
      </c>
      <c r="AH67">
        <f t="shared" si="46"/>
        <v>0</v>
      </c>
    </row>
    <row r="68" spans="1:34" x14ac:dyDescent="0.3">
      <c r="A68" s="2" t="s">
        <v>9</v>
      </c>
      <c r="B68">
        <f t="shared" si="17"/>
        <v>0</v>
      </c>
      <c r="C68">
        <f t="shared" si="18"/>
        <v>0</v>
      </c>
      <c r="D68">
        <f t="shared" si="19"/>
        <v>-0.29157619022874193</v>
      </c>
      <c r="E68">
        <f t="shared" si="20"/>
        <v>0</v>
      </c>
      <c r="F68">
        <f t="shared" si="21"/>
        <v>0</v>
      </c>
      <c r="G68">
        <f t="shared" si="22"/>
        <v>0</v>
      </c>
      <c r="H68">
        <f t="shared" si="23"/>
        <v>-2.7063357392827503E-2</v>
      </c>
      <c r="I68">
        <f t="shared" si="24"/>
        <v>1.3380079761254811</v>
      </c>
      <c r="J68">
        <f t="shared" si="25"/>
        <v>0</v>
      </c>
      <c r="K68">
        <f t="shared" si="26"/>
        <v>-1.7570828623867234</v>
      </c>
      <c r="L68">
        <f t="shared" si="27"/>
        <v>0.77834302534118327</v>
      </c>
      <c r="M68">
        <f t="shared" si="28"/>
        <v>0</v>
      </c>
      <c r="N68">
        <f t="shared" si="29"/>
        <v>0</v>
      </c>
      <c r="O68">
        <f t="shared" si="30"/>
        <v>0</v>
      </c>
      <c r="P68">
        <f t="shared" si="31"/>
        <v>0</v>
      </c>
      <c r="S68" s="2" t="s">
        <v>9</v>
      </c>
      <c r="T68">
        <f t="shared" si="32"/>
        <v>0</v>
      </c>
      <c r="U68">
        <f t="shared" si="33"/>
        <v>0</v>
      </c>
      <c r="V68">
        <f t="shared" si="34"/>
        <v>-0.26221679191063585</v>
      </c>
      <c r="W68">
        <f t="shared" si="35"/>
        <v>0</v>
      </c>
      <c r="X68">
        <f t="shared" si="36"/>
        <v>0</v>
      </c>
      <c r="Y68">
        <f t="shared" si="37"/>
        <v>0</v>
      </c>
      <c r="Z68">
        <f t="shared" si="38"/>
        <v>0.27941811014329243</v>
      </c>
      <c r="AA68">
        <f t="shared" si="39"/>
        <v>-1.2182176827459847</v>
      </c>
      <c r="AB68">
        <f t="shared" si="40"/>
        <v>0</v>
      </c>
      <c r="AC68">
        <f t="shared" si="41"/>
        <v>-1.9201397369068021</v>
      </c>
      <c r="AD68">
        <f t="shared" si="42"/>
        <v>1.3338763864950105</v>
      </c>
      <c r="AE68">
        <f t="shared" si="43"/>
        <v>0</v>
      </c>
      <c r="AF68">
        <f t="shared" si="44"/>
        <v>0</v>
      </c>
      <c r="AG68">
        <f t="shared" si="45"/>
        <v>0</v>
      </c>
      <c r="AH68">
        <f t="shared" si="46"/>
        <v>0</v>
      </c>
    </row>
    <row r="69" spans="1:34" x14ac:dyDescent="0.3">
      <c r="A69" s="2" t="s">
        <v>10</v>
      </c>
      <c r="B69">
        <f t="shared" si="17"/>
        <v>0</v>
      </c>
      <c r="C69">
        <f t="shared" si="18"/>
        <v>0</v>
      </c>
      <c r="D69">
        <f t="shared" si="19"/>
        <v>0</v>
      </c>
      <c r="E69">
        <f t="shared" si="20"/>
        <v>0</v>
      </c>
      <c r="F69">
        <f t="shared" si="21"/>
        <v>0</v>
      </c>
      <c r="G69">
        <f t="shared" si="22"/>
        <v>0</v>
      </c>
      <c r="H69">
        <f t="shared" si="23"/>
        <v>7.2692812255327754E-2</v>
      </c>
      <c r="I69">
        <f t="shared" si="24"/>
        <v>0</v>
      </c>
      <c r="J69">
        <f t="shared" si="25"/>
        <v>0</v>
      </c>
      <c r="K69">
        <f t="shared" si="26"/>
        <v>0</v>
      </c>
      <c r="L69">
        <f t="shared" si="27"/>
        <v>0</v>
      </c>
      <c r="M69">
        <f t="shared" si="28"/>
        <v>0</v>
      </c>
      <c r="N69">
        <f t="shared" si="29"/>
        <v>0</v>
      </c>
      <c r="O69">
        <f t="shared" si="30"/>
        <v>0</v>
      </c>
      <c r="P69">
        <f t="shared" si="31"/>
        <v>0</v>
      </c>
      <c r="S69" s="2" t="s">
        <v>10</v>
      </c>
      <c r="T69">
        <f t="shared" si="32"/>
        <v>0</v>
      </c>
      <c r="U69">
        <f t="shared" si="33"/>
        <v>0</v>
      </c>
      <c r="V69">
        <f t="shared" si="34"/>
        <v>0</v>
      </c>
      <c r="W69">
        <f t="shared" si="35"/>
        <v>0</v>
      </c>
      <c r="X69">
        <f t="shared" si="36"/>
        <v>0</v>
      </c>
      <c r="Y69">
        <f t="shared" si="37"/>
        <v>0</v>
      </c>
      <c r="Z69">
        <f t="shared" si="38"/>
        <v>9.4759495588110587E-2</v>
      </c>
      <c r="AA69">
        <f t="shared" si="39"/>
        <v>0</v>
      </c>
      <c r="AB69">
        <f t="shared" si="40"/>
        <v>0</v>
      </c>
      <c r="AC69">
        <f t="shared" si="41"/>
        <v>0</v>
      </c>
      <c r="AD69">
        <f t="shared" si="42"/>
        <v>0</v>
      </c>
      <c r="AE69">
        <f t="shared" si="43"/>
        <v>0</v>
      </c>
      <c r="AF69">
        <f t="shared" si="44"/>
        <v>0</v>
      </c>
      <c r="AG69">
        <f t="shared" si="45"/>
        <v>0</v>
      </c>
      <c r="AH69">
        <f t="shared" si="46"/>
        <v>0</v>
      </c>
    </row>
    <row r="70" spans="1:34" x14ac:dyDescent="0.3">
      <c r="A70" s="2" t="s">
        <v>11</v>
      </c>
      <c r="B70">
        <f t="shared" si="17"/>
        <v>0</v>
      </c>
      <c r="C70">
        <f t="shared" si="18"/>
        <v>0</v>
      </c>
      <c r="D70">
        <f t="shared" si="19"/>
        <v>0</v>
      </c>
      <c r="E70">
        <f t="shared" si="20"/>
        <v>-1.3757626839472059</v>
      </c>
      <c r="F70">
        <f t="shared" si="21"/>
        <v>0</v>
      </c>
      <c r="G70">
        <f t="shared" si="22"/>
        <v>0</v>
      </c>
      <c r="H70">
        <f t="shared" si="23"/>
        <v>4.1641393019192494E-2</v>
      </c>
      <c r="I70">
        <f t="shared" si="24"/>
        <v>0</v>
      </c>
      <c r="J70">
        <f t="shared" si="25"/>
        <v>0</v>
      </c>
      <c r="K70">
        <f t="shared" si="26"/>
        <v>0</v>
      </c>
      <c r="L70">
        <f t="shared" si="27"/>
        <v>0</v>
      </c>
      <c r="M70">
        <f t="shared" si="28"/>
        <v>0</v>
      </c>
      <c r="N70">
        <f t="shared" si="29"/>
        <v>0</v>
      </c>
      <c r="O70">
        <f t="shared" si="30"/>
        <v>0</v>
      </c>
      <c r="P70">
        <f t="shared" si="31"/>
        <v>0</v>
      </c>
      <c r="S70" s="2" t="s">
        <v>11</v>
      </c>
      <c r="T70">
        <f t="shared" si="32"/>
        <v>0</v>
      </c>
      <c r="U70">
        <f t="shared" si="33"/>
        <v>0</v>
      </c>
      <c r="V70">
        <f t="shared" si="34"/>
        <v>0</v>
      </c>
      <c r="W70">
        <f t="shared" si="35"/>
        <v>1.1500760467518338</v>
      </c>
      <c r="X70">
        <f t="shared" si="36"/>
        <v>0</v>
      </c>
      <c r="Y70">
        <f t="shared" si="37"/>
        <v>0</v>
      </c>
      <c r="Z70">
        <f t="shared" si="38"/>
        <v>-3.9771353404427778E-3</v>
      </c>
      <c r="AA70">
        <f t="shared" si="39"/>
        <v>0</v>
      </c>
      <c r="AB70">
        <f t="shared" si="40"/>
        <v>0</v>
      </c>
      <c r="AC70">
        <f t="shared" si="41"/>
        <v>0</v>
      </c>
      <c r="AD70">
        <f t="shared" si="42"/>
        <v>0</v>
      </c>
      <c r="AE70">
        <f t="shared" si="43"/>
        <v>0</v>
      </c>
      <c r="AF70">
        <f t="shared" si="44"/>
        <v>0</v>
      </c>
      <c r="AG70">
        <f t="shared" si="45"/>
        <v>0</v>
      </c>
      <c r="AH70">
        <f t="shared" si="46"/>
        <v>0</v>
      </c>
    </row>
    <row r="71" spans="1:34" x14ac:dyDescent="0.3">
      <c r="A71" s="2" t="s">
        <v>12</v>
      </c>
      <c r="B71">
        <f t="shared" si="17"/>
        <v>0</v>
      </c>
      <c r="C71">
        <f t="shared" si="18"/>
        <v>0</v>
      </c>
      <c r="D71">
        <f t="shared" si="19"/>
        <v>-0.10353365223053604</v>
      </c>
      <c r="E71">
        <f t="shared" si="20"/>
        <v>0</v>
      </c>
      <c r="F71">
        <f t="shared" si="21"/>
        <v>0</v>
      </c>
      <c r="G71">
        <f t="shared" si="22"/>
        <v>0</v>
      </c>
      <c r="H71">
        <f t="shared" si="23"/>
        <v>0</v>
      </c>
      <c r="I71">
        <f t="shared" si="24"/>
        <v>0.24369952959989738</v>
      </c>
      <c r="J71">
        <f t="shared" si="25"/>
        <v>0</v>
      </c>
      <c r="K71">
        <f t="shared" si="26"/>
        <v>-0.89558278394192437</v>
      </c>
      <c r="L71">
        <f t="shared" si="27"/>
        <v>0</v>
      </c>
      <c r="M71">
        <f t="shared" si="28"/>
        <v>0</v>
      </c>
      <c r="N71">
        <f t="shared" si="29"/>
        <v>0</v>
      </c>
      <c r="O71">
        <f t="shared" si="30"/>
        <v>0</v>
      </c>
      <c r="P71">
        <f t="shared" si="31"/>
        <v>0</v>
      </c>
      <c r="S71" s="2" t="s">
        <v>12</v>
      </c>
      <c r="T71">
        <f t="shared" si="32"/>
        <v>0</v>
      </c>
      <c r="U71">
        <f t="shared" si="33"/>
        <v>0</v>
      </c>
      <c r="V71">
        <f t="shared" si="34"/>
        <v>3.1054272881382086E-2</v>
      </c>
      <c r="W71">
        <f t="shared" si="35"/>
        <v>0</v>
      </c>
      <c r="X71">
        <f t="shared" si="36"/>
        <v>0</v>
      </c>
      <c r="Y71">
        <f t="shared" si="37"/>
        <v>0</v>
      </c>
      <c r="Z71">
        <f t="shared" si="38"/>
        <v>0</v>
      </c>
      <c r="AA71">
        <f t="shared" si="39"/>
        <v>0.11802334351839351</v>
      </c>
      <c r="AB71">
        <f t="shared" si="40"/>
        <v>0</v>
      </c>
      <c r="AC71">
        <f t="shared" si="41"/>
        <v>0.50625776126912769</v>
      </c>
      <c r="AD71">
        <f t="shared" si="42"/>
        <v>0</v>
      </c>
      <c r="AE71">
        <f t="shared" si="43"/>
        <v>0</v>
      </c>
      <c r="AF71">
        <f t="shared" si="44"/>
        <v>0</v>
      </c>
      <c r="AG71">
        <f t="shared" si="45"/>
        <v>0</v>
      </c>
      <c r="AH71">
        <f t="shared" si="46"/>
        <v>0</v>
      </c>
    </row>
    <row r="72" spans="1:34" x14ac:dyDescent="0.3">
      <c r="A72" s="2" t="s">
        <v>61</v>
      </c>
      <c r="B72">
        <f t="shared" si="17"/>
        <v>0</v>
      </c>
      <c r="C72">
        <f t="shared" si="18"/>
        <v>0</v>
      </c>
      <c r="D72">
        <f t="shared" si="19"/>
        <v>-5.8561186454735875E-2</v>
      </c>
      <c r="E72">
        <f t="shared" si="20"/>
        <v>0</v>
      </c>
      <c r="F72">
        <f t="shared" si="21"/>
        <v>0</v>
      </c>
      <c r="G72">
        <f t="shared" si="22"/>
        <v>0</v>
      </c>
      <c r="H72">
        <f t="shared" si="23"/>
        <v>0</v>
      </c>
      <c r="I72">
        <f t="shared" si="24"/>
        <v>0</v>
      </c>
      <c r="J72">
        <f t="shared" si="25"/>
        <v>0</v>
      </c>
      <c r="K72">
        <f t="shared" si="26"/>
        <v>0</v>
      </c>
      <c r="L72">
        <f t="shared" si="27"/>
        <v>0</v>
      </c>
      <c r="M72">
        <f t="shared" si="28"/>
        <v>0</v>
      </c>
      <c r="N72">
        <f t="shared" si="29"/>
        <v>0</v>
      </c>
      <c r="O72">
        <f t="shared" si="30"/>
        <v>0</v>
      </c>
      <c r="P72">
        <f t="shared" si="31"/>
        <v>0</v>
      </c>
      <c r="S72" s="2" t="s">
        <v>61</v>
      </c>
      <c r="T72">
        <f t="shared" si="32"/>
        <v>0</v>
      </c>
      <c r="U72">
        <f t="shared" si="33"/>
        <v>0</v>
      </c>
      <c r="V72">
        <f t="shared" si="34"/>
        <v>0.21616775521071296</v>
      </c>
      <c r="W72">
        <f t="shared" si="35"/>
        <v>0</v>
      </c>
      <c r="X72">
        <f t="shared" si="36"/>
        <v>0</v>
      </c>
      <c r="Y72">
        <f t="shared" si="37"/>
        <v>0</v>
      </c>
      <c r="Z72">
        <f t="shared" si="38"/>
        <v>0</v>
      </c>
      <c r="AA72">
        <f t="shared" si="39"/>
        <v>0</v>
      </c>
      <c r="AB72">
        <f t="shared" si="40"/>
        <v>0</v>
      </c>
      <c r="AC72">
        <f t="shared" si="41"/>
        <v>0</v>
      </c>
      <c r="AD72">
        <f t="shared" si="42"/>
        <v>0</v>
      </c>
      <c r="AE72">
        <f t="shared" si="43"/>
        <v>0</v>
      </c>
      <c r="AF72">
        <f t="shared" si="44"/>
        <v>0</v>
      </c>
      <c r="AG72">
        <f t="shared" si="45"/>
        <v>0</v>
      </c>
      <c r="AH72">
        <f t="shared" si="46"/>
        <v>0</v>
      </c>
    </row>
    <row r="73" spans="1:34" x14ac:dyDescent="0.3">
      <c r="A73" s="2" t="s">
        <v>13</v>
      </c>
      <c r="B73">
        <f t="shared" si="17"/>
        <v>0</v>
      </c>
      <c r="C73">
        <f t="shared" si="18"/>
        <v>0</v>
      </c>
      <c r="D73">
        <f t="shared" si="19"/>
        <v>0</v>
      </c>
      <c r="E73">
        <f t="shared" si="20"/>
        <v>0</v>
      </c>
      <c r="F73">
        <f t="shared" si="21"/>
        <v>0</v>
      </c>
      <c r="G73">
        <f t="shared" si="22"/>
        <v>0</v>
      </c>
      <c r="H73">
        <f t="shared" si="23"/>
        <v>0</v>
      </c>
      <c r="I73">
        <f t="shared" si="24"/>
        <v>-0.72558079319194058</v>
      </c>
      <c r="J73">
        <f t="shared" si="25"/>
        <v>0</v>
      </c>
      <c r="K73">
        <f t="shared" si="26"/>
        <v>0</v>
      </c>
      <c r="L73">
        <f t="shared" si="27"/>
        <v>0</v>
      </c>
      <c r="M73">
        <f t="shared" si="28"/>
        <v>0</v>
      </c>
      <c r="N73">
        <f t="shared" si="29"/>
        <v>0</v>
      </c>
      <c r="O73">
        <f t="shared" si="30"/>
        <v>0</v>
      </c>
      <c r="P73">
        <f t="shared" si="31"/>
        <v>0</v>
      </c>
      <c r="S73" s="2" t="s">
        <v>13</v>
      </c>
      <c r="T73">
        <f t="shared" si="32"/>
        <v>0</v>
      </c>
      <c r="U73">
        <f t="shared" si="33"/>
        <v>0</v>
      </c>
      <c r="V73">
        <f t="shared" si="34"/>
        <v>0</v>
      </c>
      <c r="W73">
        <f t="shared" si="35"/>
        <v>0</v>
      </c>
      <c r="X73">
        <f t="shared" si="36"/>
        <v>0</v>
      </c>
      <c r="Y73">
        <f t="shared" si="37"/>
        <v>0</v>
      </c>
      <c r="Z73">
        <f t="shared" si="38"/>
        <v>0</v>
      </c>
      <c r="AA73">
        <f t="shared" si="39"/>
        <v>-8.4839437188202527E-2</v>
      </c>
      <c r="AB73">
        <f t="shared" si="40"/>
        <v>0</v>
      </c>
      <c r="AC73">
        <f t="shared" si="41"/>
        <v>0</v>
      </c>
      <c r="AD73">
        <f t="shared" si="42"/>
        <v>0</v>
      </c>
      <c r="AE73">
        <f t="shared" si="43"/>
        <v>0</v>
      </c>
      <c r="AF73">
        <f t="shared" si="44"/>
        <v>0</v>
      </c>
      <c r="AG73">
        <f t="shared" si="45"/>
        <v>0</v>
      </c>
      <c r="AH73">
        <f t="shared" si="46"/>
        <v>0</v>
      </c>
    </row>
    <row r="74" spans="1:34" x14ac:dyDescent="0.3">
      <c r="A74" s="2" t="s">
        <v>62</v>
      </c>
      <c r="B74">
        <f t="shared" si="17"/>
        <v>0</v>
      </c>
      <c r="C74">
        <f t="shared" si="18"/>
        <v>0</v>
      </c>
      <c r="D74">
        <f t="shared" si="19"/>
        <v>0</v>
      </c>
      <c r="E74">
        <f t="shared" si="20"/>
        <v>0</v>
      </c>
      <c r="F74">
        <f t="shared" si="21"/>
        <v>0</v>
      </c>
      <c r="G74">
        <f t="shared" si="22"/>
        <v>0</v>
      </c>
      <c r="H74">
        <f t="shared" si="23"/>
        <v>0</v>
      </c>
      <c r="I74">
        <f t="shared" si="24"/>
        <v>0</v>
      </c>
      <c r="J74">
        <f t="shared" si="25"/>
        <v>0.34564399874845653</v>
      </c>
      <c r="K74">
        <f t="shared" si="26"/>
        <v>0</v>
      </c>
      <c r="L74">
        <f t="shared" si="27"/>
        <v>0</v>
      </c>
      <c r="M74">
        <f t="shared" si="28"/>
        <v>0</v>
      </c>
      <c r="N74">
        <f t="shared" si="29"/>
        <v>0</v>
      </c>
      <c r="O74">
        <f t="shared" si="30"/>
        <v>0</v>
      </c>
      <c r="P74">
        <f t="shared" si="31"/>
        <v>0</v>
      </c>
      <c r="S74" s="2" t="s">
        <v>62</v>
      </c>
      <c r="T74">
        <f t="shared" si="32"/>
        <v>0</v>
      </c>
      <c r="U74">
        <f t="shared" si="33"/>
        <v>0</v>
      </c>
      <c r="V74">
        <f t="shared" si="34"/>
        <v>0</v>
      </c>
      <c r="W74">
        <f t="shared" si="35"/>
        <v>0</v>
      </c>
      <c r="X74">
        <f t="shared" si="36"/>
        <v>0</v>
      </c>
      <c r="Y74">
        <f t="shared" si="37"/>
        <v>0</v>
      </c>
      <c r="Z74">
        <f t="shared" si="38"/>
        <v>0</v>
      </c>
      <c r="AA74">
        <f t="shared" si="39"/>
        <v>0</v>
      </c>
      <c r="AB74">
        <f t="shared" si="40"/>
        <v>0.83385238707551679</v>
      </c>
      <c r="AC74">
        <f t="shared" si="41"/>
        <v>0</v>
      </c>
      <c r="AD74">
        <f t="shared" si="42"/>
        <v>0</v>
      </c>
      <c r="AE74">
        <f t="shared" si="43"/>
        <v>0</v>
      </c>
      <c r="AF74">
        <f t="shared" si="44"/>
        <v>0</v>
      </c>
      <c r="AG74">
        <f t="shared" si="45"/>
        <v>0</v>
      </c>
      <c r="AH74">
        <f t="shared" si="46"/>
        <v>0</v>
      </c>
    </row>
    <row r="75" spans="1:34" x14ac:dyDescent="0.3">
      <c r="A75" s="2" t="s">
        <v>14</v>
      </c>
      <c r="B75">
        <f t="shared" si="17"/>
        <v>0</v>
      </c>
      <c r="C75">
        <f t="shared" si="18"/>
        <v>-1.270852694588207</v>
      </c>
      <c r="D75">
        <f t="shared" si="19"/>
        <v>0.1244773458443707</v>
      </c>
      <c r="E75">
        <f t="shared" si="20"/>
        <v>0</v>
      </c>
      <c r="F75">
        <f t="shared" si="21"/>
        <v>0</v>
      </c>
      <c r="G75">
        <f t="shared" si="22"/>
        <v>0</v>
      </c>
      <c r="H75">
        <f t="shared" si="23"/>
        <v>0</v>
      </c>
      <c r="I75">
        <f t="shared" si="24"/>
        <v>-1.8503646838107217</v>
      </c>
      <c r="J75">
        <f t="shared" si="25"/>
        <v>0</v>
      </c>
      <c r="K75">
        <f t="shared" si="26"/>
        <v>0</v>
      </c>
      <c r="L75">
        <f t="shared" si="27"/>
        <v>2.0422444885539375</v>
      </c>
      <c r="M75">
        <f t="shared" si="28"/>
        <v>0</v>
      </c>
      <c r="N75">
        <f t="shared" si="29"/>
        <v>0</v>
      </c>
      <c r="O75">
        <f t="shared" si="30"/>
        <v>0</v>
      </c>
      <c r="P75">
        <f t="shared" si="31"/>
        <v>0</v>
      </c>
      <c r="S75" s="2" t="s">
        <v>14</v>
      </c>
      <c r="T75">
        <f t="shared" si="32"/>
        <v>0</v>
      </c>
      <c r="U75">
        <f t="shared" si="33"/>
        <v>-0.25586074625490296</v>
      </c>
      <c r="V75">
        <f t="shared" si="34"/>
        <v>-8.6262546163733717E-2</v>
      </c>
      <c r="W75">
        <f t="shared" si="35"/>
        <v>0</v>
      </c>
      <c r="X75">
        <f t="shared" si="36"/>
        <v>0</v>
      </c>
      <c r="Y75">
        <f t="shared" si="37"/>
        <v>0</v>
      </c>
      <c r="Z75">
        <f t="shared" si="38"/>
        <v>0</v>
      </c>
      <c r="AA75">
        <f t="shared" si="39"/>
        <v>-0.59927450120771142</v>
      </c>
      <c r="AB75">
        <f t="shared" si="40"/>
        <v>0</v>
      </c>
      <c r="AC75">
        <f t="shared" si="41"/>
        <v>0</v>
      </c>
      <c r="AD75">
        <f t="shared" si="42"/>
        <v>2.6086583550352239E-2</v>
      </c>
      <c r="AE75">
        <f t="shared" si="43"/>
        <v>0</v>
      </c>
      <c r="AF75">
        <f t="shared" si="44"/>
        <v>0</v>
      </c>
      <c r="AG75">
        <f t="shared" si="45"/>
        <v>0</v>
      </c>
      <c r="AH75">
        <f t="shared" si="46"/>
        <v>0</v>
      </c>
    </row>
    <row r="76" spans="1:34" x14ac:dyDescent="0.3">
      <c r="A76" s="2" t="s">
        <v>15</v>
      </c>
      <c r="B76">
        <f t="shared" si="17"/>
        <v>0</v>
      </c>
      <c r="C76">
        <f t="shared" si="18"/>
        <v>0</v>
      </c>
      <c r="D76">
        <f t="shared" si="19"/>
        <v>0</v>
      </c>
      <c r="E76">
        <f t="shared" si="20"/>
        <v>0</v>
      </c>
      <c r="F76">
        <f t="shared" si="21"/>
        <v>0</v>
      </c>
      <c r="G76">
        <f t="shared" si="22"/>
        <v>0</v>
      </c>
      <c r="H76">
        <f t="shared" si="23"/>
        <v>5.1557377590868779E-2</v>
      </c>
      <c r="I76">
        <f t="shared" si="24"/>
        <v>-0.9114362921011685</v>
      </c>
      <c r="J76">
        <f t="shared" si="25"/>
        <v>0</v>
      </c>
      <c r="K76">
        <f t="shared" si="26"/>
        <v>0</v>
      </c>
      <c r="L76">
        <f t="shared" si="27"/>
        <v>0.27121959983943889</v>
      </c>
      <c r="M76">
        <f t="shared" si="28"/>
        <v>0</v>
      </c>
      <c r="N76">
        <f t="shared" si="29"/>
        <v>0</v>
      </c>
      <c r="O76">
        <f t="shared" si="30"/>
        <v>0</v>
      </c>
      <c r="P76">
        <f t="shared" si="31"/>
        <v>0</v>
      </c>
      <c r="S76" s="2" t="s">
        <v>15</v>
      </c>
      <c r="T76">
        <f t="shared" si="32"/>
        <v>0</v>
      </c>
      <c r="U76">
        <f t="shared" si="33"/>
        <v>0</v>
      </c>
      <c r="V76">
        <f t="shared" si="34"/>
        <v>0</v>
      </c>
      <c r="W76">
        <f t="shared" si="35"/>
        <v>0</v>
      </c>
      <c r="X76">
        <f t="shared" si="36"/>
        <v>0</v>
      </c>
      <c r="Y76">
        <f t="shared" si="37"/>
        <v>0</v>
      </c>
      <c r="Z76">
        <f t="shared" si="38"/>
        <v>-1.3667851564047595E-3</v>
      </c>
      <c r="AA76">
        <f t="shared" si="39"/>
        <v>0.45933290160370466</v>
      </c>
      <c r="AB76">
        <f t="shared" si="40"/>
        <v>0</v>
      </c>
      <c r="AC76">
        <f t="shared" si="41"/>
        <v>0</v>
      </c>
      <c r="AD76">
        <f t="shared" si="42"/>
        <v>0.60156573114572653</v>
      </c>
      <c r="AE76">
        <f t="shared" si="43"/>
        <v>0</v>
      </c>
      <c r="AF76">
        <f t="shared" si="44"/>
        <v>0</v>
      </c>
      <c r="AG76">
        <f t="shared" si="45"/>
        <v>0</v>
      </c>
      <c r="AH76">
        <f t="shared" si="46"/>
        <v>0</v>
      </c>
    </row>
    <row r="77" spans="1:34" x14ac:dyDescent="0.3">
      <c r="A77" s="2" t="s">
        <v>16</v>
      </c>
      <c r="B77">
        <f t="shared" si="17"/>
        <v>0</v>
      </c>
      <c r="C77">
        <f t="shared" si="18"/>
        <v>0</v>
      </c>
      <c r="D77">
        <f t="shared" si="19"/>
        <v>0</v>
      </c>
      <c r="E77">
        <f t="shared" si="20"/>
        <v>0</v>
      </c>
      <c r="F77">
        <f t="shared" si="21"/>
        <v>0</v>
      </c>
      <c r="G77">
        <f t="shared" si="22"/>
        <v>0</v>
      </c>
      <c r="H77">
        <f t="shared" si="23"/>
        <v>0</v>
      </c>
      <c r="I77">
        <f t="shared" si="24"/>
        <v>0</v>
      </c>
      <c r="J77">
        <f t="shared" si="25"/>
        <v>0</v>
      </c>
      <c r="K77">
        <f t="shared" si="26"/>
        <v>0</v>
      </c>
      <c r="L77">
        <f t="shared" si="27"/>
        <v>0</v>
      </c>
      <c r="M77">
        <f t="shared" si="28"/>
        <v>0</v>
      </c>
      <c r="N77">
        <f t="shared" si="29"/>
        <v>0</v>
      </c>
      <c r="O77">
        <f t="shared" si="30"/>
        <v>0</v>
      </c>
      <c r="P77">
        <f t="shared" si="31"/>
        <v>0</v>
      </c>
      <c r="S77" s="2" t="s">
        <v>16</v>
      </c>
      <c r="T77">
        <f t="shared" si="32"/>
        <v>0</v>
      </c>
      <c r="U77">
        <f t="shared" si="33"/>
        <v>0</v>
      </c>
      <c r="V77">
        <f t="shared" si="34"/>
        <v>0</v>
      </c>
      <c r="W77">
        <f t="shared" si="35"/>
        <v>0</v>
      </c>
      <c r="X77">
        <f t="shared" si="36"/>
        <v>0</v>
      </c>
      <c r="Y77">
        <f t="shared" si="37"/>
        <v>0</v>
      </c>
      <c r="Z77">
        <f t="shared" si="38"/>
        <v>0</v>
      </c>
      <c r="AA77">
        <f t="shared" si="39"/>
        <v>0</v>
      </c>
      <c r="AB77">
        <f t="shared" si="40"/>
        <v>0</v>
      </c>
      <c r="AC77">
        <f t="shared" si="41"/>
        <v>0</v>
      </c>
      <c r="AD77">
        <f t="shared" si="42"/>
        <v>0</v>
      </c>
      <c r="AE77">
        <f t="shared" si="43"/>
        <v>0</v>
      </c>
      <c r="AF77">
        <f t="shared" si="44"/>
        <v>0</v>
      </c>
      <c r="AG77">
        <f t="shared" si="45"/>
        <v>0</v>
      </c>
      <c r="AH77">
        <f t="shared" si="46"/>
        <v>0</v>
      </c>
    </row>
    <row r="78" spans="1:34" x14ac:dyDescent="0.3">
      <c r="A78" s="2"/>
      <c r="S78" s="2"/>
    </row>
    <row r="80" spans="1:34" x14ac:dyDescent="0.3">
      <c r="A80" s="18" t="s">
        <v>24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S80" s="18" t="s">
        <v>24</v>
      </c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x14ac:dyDescent="0.3">
      <c r="A81" s="2" t="s">
        <v>36</v>
      </c>
      <c r="B81">
        <f>AVERAGE(B63:Q78)</f>
        <v>-1.9041418720002503E-2</v>
      </c>
      <c r="C81" t="s">
        <v>37</v>
      </c>
      <c r="D81">
        <f>MEDIAN(B63:Q78)</f>
        <v>0</v>
      </c>
      <c r="E81" t="s">
        <v>40</v>
      </c>
      <c r="F81">
        <f>MIN(B63:Q78)</f>
        <v>-1.8503646838107217</v>
      </c>
      <c r="G81" t="s">
        <v>41</v>
      </c>
      <c r="H81">
        <f>MAX(B63:Q78)</f>
        <v>2.0422444885539375</v>
      </c>
      <c r="I81" t="s">
        <v>38</v>
      </c>
      <c r="J81" cm="1">
        <f t="array" ref="J81">MIN(IF(B63:P77&lt;&gt;0,ABS(B63:P77)))</f>
        <v>1.40003025843769E-2</v>
      </c>
      <c r="K81" t="s">
        <v>39</v>
      </c>
      <c r="L81" cm="1">
        <f t="array" ref="L81">MAX(ABS(B63:Q78))</f>
        <v>2.0422444885539375</v>
      </c>
      <c r="S81" s="2" t="s">
        <v>36</v>
      </c>
      <c r="T81">
        <f>AVERAGE(T63:AI78)</f>
        <v>-2.0321107095939567E-3</v>
      </c>
      <c r="U81" t="s">
        <v>37</v>
      </c>
      <c r="V81">
        <f>MEDIAN(T63:AI78)</f>
        <v>0</v>
      </c>
      <c r="W81" t="s">
        <v>40</v>
      </c>
      <c r="X81">
        <f>MIN(T63:AI78)</f>
        <v>-2.3475587376964859</v>
      </c>
      <c r="Y81" t="s">
        <v>41</v>
      </c>
      <c r="Z81">
        <f>MAX(T63:AI78)</f>
        <v>1.3338763864950105</v>
      </c>
      <c r="AA81" t="s">
        <v>38</v>
      </c>
      <c r="AB81" cm="1">
        <f t="array" ref="AB81">MIN(IF(T63:AH77&lt;&gt;0,ABS(T63:AH77)))</f>
        <v>1.3667851564047595E-3</v>
      </c>
      <c r="AC81" t="s">
        <v>39</v>
      </c>
      <c r="AD81" cm="1">
        <f t="array" ref="AD81">MAX(ABS(T63:AI78))</f>
        <v>2.3475587376964859</v>
      </c>
    </row>
    <row r="85" spans="1:30" x14ac:dyDescent="0.3">
      <c r="A85" s="18" t="s">
        <v>33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30" x14ac:dyDescent="0.3">
      <c r="A86" s="2" t="s">
        <v>29</v>
      </c>
      <c r="B86" s="2" t="s">
        <v>5</v>
      </c>
      <c r="C86" s="2" t="s">
        <v>6</v>
      </c>
      <c r="D86" s="2" t="s">
        <v>7</v>
      </c>
      <c r="E86" s="2" t="s">
        <v>60</v>
      </c>
      <c r="F86" s="2" t="s">
        <v>8</v>
      </c>
      <c r="G86" s="2" t="s">
        <v>9</v>
      </c>
      <c r="H86" s="2" t="s">
        <v>10</v>
      </c>
      <c r="I86" s="2" t="s">
        <v>11</v>
      </c>
      <c r="J86" s="2" t="s">
        <v>12</v>
      </c>
      <c r="K86" s="2" t="s">
        <v>61</v>
      </c>
      <c r="L86" s="2" t="s">
        <v>13</v>
      </c>
      <c r="M86" s="2" t="s">
        <v>62</v>
      </c>
      <c r="N86" s="2" t="s">
        <v>14</v>
      </c>
      <c r="O86" s="2" t="s">
        <v>15</v>
      </c>
      <c r="P86" s="2" t="s">
        <v>16</v>
      </c>
      <c r="Q86" s="2"/>
    </row>
    <row r="87" spans="1:30" x14ac:dyDescent="0.3">
      <c r="A87" s="2" t="s">
        <v>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0.92380923986478547</v>
      </c>
      <c r="Q87" s="2"/>
    </row>
    <row r="88" spans="1:30" x14ac:dyDescent="0.3">
      <c r="A88" s="2" t="s">
        <v>6</v>
      </c>
      <c r="B88" s="2">
        <v>-0.92589685898283181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-1.5297892291691748</v>
      </c>
      <c r="J88" s="2">
        <v>0</v>
      </c>
      <c r="K88" s="2">
        <v>0</v>
      </c>
      <c r="L88" s="2">
        <v>0</v>
      </c>
      <c r="M88" s="2">
        <v>-1.7713739929843959</v>
      </c>
      <c r="N88" s="2">
        <v>0</v>
      </c>
      <c r="O88" s="2">
        <v>0</v>
      </c>
      <c r="P88" s="2">
        <v>0</v>
      </c>
      <c r="Q88" s="2"/>
    </row>
    <row r="89" spans="1:30" x14ac:dyDescent="0.3">
      <c r="A89" s="2" t="s">
        <v>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0.39531634632155399</v>
      </c>
      <c r="I89" s="2">
        <v>0.70735072603145244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/>
    </row>
    <row r="90" spans="1:30" x14ac:dyDescent="0.3">
      <c r="A90" s="2" t="s">
        <v>60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/>
    </row>
    <row r="91" spans="1:30" x14ac:dyDescent="0.3">
      <c r="A91" s="2" t="s">
        <v>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1.8064603043641427</v>
      </c>
      <c r="O91" s="2">
        <v>0</v>
      </c>
      <c r="P91" s="2">
        <v>0</v>
      </c>
      <c r="Q91" s="2"/>
    </row>
    <row r="92" spans="1:30" x14ac:dyDescent="0.3">
      <c r="A92" s="2" t="s">
        <v>9</v>
      </c>
      <c r="B92" s="2">
        <v>0</v>
      </c>
      <c r="C92" s="2">
        <v>0</v>
      </c>
      <c r="D92" s="2">
        <v>0.47800382359574112</v>
      </c>
      <c r="E92" s="2">
        <v>0</v>
      </c>
      <c r="F92" s="2">
        <v>0</v>
      </c>
      <c r="G92" s="2">
        <v>0</v>
      </c>
      <c r="H92" s="2">
        <v>0.46699729120126654</v>
      </c>
      <c r="I92" s="2">
        <v>-4.0024524602970093</v>
      </c>
      <c r="J92" s="2">
        <v>0</v>
      </c>
      <c r="K92" s="3">
        <v>1.7040486361469875</v>
      </c>
      <c r="L92" s="3">
        <v>-0.29243774707608922</v>
      </c>
      <c r="M92" s="2">
        <v>0</v>
      </c>
      <c r="N92" s="2">
        <v>0</v>
      </c>
      <c r="O92" s="2">
        <v>0</v>
      </c>
      <c r="P92" s="2">
        <v>0</v>
      </c>
      <c r="Q92" s="2"/>
    </row>
    <row r="93" spans="1:30" x14ac:dyDescent="0.3">
      <c r="A93" s="2" t="s">
        <v>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0.54504204105832021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/>
    </row>
    <row r="94" spans="1:30" x14ac:dyDescent="0.3">
      <c r="A94" s="2" t="s">
        <v>11</v>
      </c>
      <c r="B94" s="2">
        <v>0</v>
      </c>
      <c r="C94" s="2">
        <v>0</v>
      </c>
      <c r="D94" s="2">
        <v>0</v>
      </c>
      <c r="E94" s="2">
        <v>3.2506644874279242</v>
      </c>
      <c r="F94" s="2">
        <v>0</v>
      </c>
      <c r="G94" s="2">
        <v>0</v>
      </c>
      <c r="H94" s="2">
        <v>0.10080939805025672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/>
    </row>
    <row r="95" spans="1:30" x14ac:dyDescent="0.3">
      <c r="A95" s="2" t="s">
        <v>12</v>
      </c>
      <c r="B95" s="2">
        <v>0</v>
      </c>
      <c r="C95" s="2">
        <v>0</v>
      </c>
      <c r="D95" s="2">
        <v>0.32866982288168373</v>
      </c>
      <c r="E95" s="2">
        <v>0</v>
      </c>
      <c r="F95" s="2">
        <v>0</v>
      </c>
      <c r="G95" s="2">
        <v>0</v>
      </c>
      <c r="H95" s="2">
        <v>0</v>
      </c>
      <c r="I95" s="2">
        <v>-1.2684434093750887</v>
      </c>
      <c r="J95" s="2">
        <v>0</v>
      </c>
      <c r="K95" s="2">
        <v>1.5327784934934223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/>
    </row>
    <row r="96" spans="1:30" x14ac:dyDescent="0.3">
      <c r="A96" s="2" t="s">
        <v>61</v>
      </c>
      <c r="B96" s="2">
        <v>0</v>
      </c>
      <c r="C96" s="2">
        <v>0</v>
      </c>
      <c r="D96" s="2">
        <v>-0.23988183298335328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/>
    </row>
    <row r="97" spans="1:17" x14ac:dyDescent="0.3">
      <c r="A97" s="2" t="s">
        <v>13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0.43973046697232188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/>
    </row>
    <row r="98" spans="1:17" x14ac:dyDescent="0.3">
      <c r="A98" s="2" t="s">
        <v>62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-1.7929577014718729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/>
    </row>
    <row r="99" spans="1:17" x14ac:dyDescent="0.3">
      <c r="A99" s="2" t="s">
        <v>14</v>
      </c>
      <c r="B99" s="2">
        <v>0</v>
      </c>
      <c r="C99" s="3">
        <v>0.10555266183019535</v>
      </c>
      <c r="D99" s="2">
        <v>7.9302413963861756E-2</v>
      </c>
      <c r="E99" s="2">
        <v>0</v>
      </c>
      <c r="F99" s="2">
        <v>0</v>
      </c>
      <c r="G99" s="2">
        <v>0</v>
      </c>
      <c r="H99" s="2">
        <v>0</v>
      </c>
      <c r="I99" s="2">
        <v>2.8942347304538498</v>
      </c>
      <c r="J99" s="2">
        <v>0</v>
      </c>
      <c r="K99" s="2">
        <v>0</v>
      </c>
      <c r="L99" s="2">
        <v>-3.0286668433410466</v>
      </c>
      <c r="M99" s="2">
        <v>0</v>
      </c>
      <c r="N99" s="2">
        <v>0</v>
      </c>
      <c r="O99" s="2">
        <v>0</v>
      </c>
      <c r="P99" s="2">
        <v>0</v>
      </c>
      <c r="Q99" s="2"/>
    </row>
    <row r="100" spans="1:17" x14ac:dyDescent="0.3">
      <c r="A100" s="2" t="s">
        <v>15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4.8419886598565741E-2</v>
      </c>
      <c r="I100" s="2">
        <v>1.9477588014556151</v>
      </c>
      <c r="J100" s="2">
        <v>0</v>
      </c>
      <c r="K100" s="2">
        <v>0</v>
      </c>
      <c r="L100" s="2">
        <v>-1.54060527834609</v>
      </c>
      <c r="M100" s="2">
        <v>0</v>
      </c>
      <c r="N100" s="2">
        <v>0</v>
      </c>
      <c r="O100" s="2">
        <v>0</v>
      </c>
      <c r="P100" s="2">
        <v>0</v>
      </c>
      <c r="Q100" s="2"/>
    </row>
    <row r="101" spans="1:17" x14ac:dyDescent="0.3">
      <c r="A101" s="2" t="s">
        <v>16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/>
    </row>
    <row r="102" spans="1:17" ht="15" thickBot="1" x14ac:dyDescent="0.35"/>
    <row r="103" spans="1:17" ht="15" thickBot="1" x14ac:dyDescent="0.35">
      <c r="A103" s="20" t="s">
        <v>73</v>
      </c>
      <c r="B103" s="21" t="s">
        <v>74</v>
      </c>
      <c r="C103" t="s">
        <v>79</v>
      </c>
    </row>
    <row r="104" spans="1:17" ht="15" thickBot="1" x14ac:dyDescent="0.35">
      <c r="A104" s="22" t="s">
        <v>5</v>
      </c>
      <c r="B104" s="23" t="s">
        <v>6</v>
      </c>
      <c r="C104">
        <f>B88</f>
        <v>-0.92589685898283181</v>
      </c>
    </row>
    <row r="105" spans="1:17" ht="15" thickBot="1" x14ac:dyDescent="0.35">
      <c r="A105" s="22" t="s">
        <v>6</v>
      </c>
      <c r="B105" s="23" t="s">
        <v>14</v>
      </c>
      <c r="C105">
        <f>C99</f>
        <v>0.10555266183019535</v>
      </c>
    </row>
    <row r="106" spans="1:17" ht="15" thickBot="1" x14ac:dyDescent="0.35">
      <c r="A106" s="22" t="s">
        <v>7</v>
      </c>
      <c r="B106" s="23" t="s">
        <v>9</v>
      </c>
      <c r="C106">
        <f>D92</f>
        <v>0.47800382359574112</v>
      </c>
    </row>
    <row r="107" spans="1:17" ht="15" thickBot="1" x14ac:dyDescent="0.35">
      <c r="A107" s="22" t="s">
        <v>7</v>
      </c>
      <c r="B107" s="23" t="s">
        <v>12</v>
      </c>
      <c r="C107">
        <f>D95</f>
        <v>0.32866982288168373</v>
      </c>
    </row>
    <row r="108" spans="1:17" ht="15" thickBot="1" x14ac:dyDescent="0.35">
      <c r="A108" s="22" t="s">
        <v>7</v>
      </c>
      <c r="B108" s="23" t="s">
        <v>61</v>
      </c>
      <c r="C108">
        <f>D96</f>
        <v>-0.23988183298335328</v>
      </c>
    </row>
    <row r="109" spans="1:17" ht="15" thickBot="1" x14ac:dyDescent="0.35">
      <c r="A109" s="22" t="s">
        <v>7</v>
      </c>
      <c r="B109" s="23" t="s">
        <v>14</v>
      </c>
      <c r="C109">
        <f>D99</f>
        <v>7.9302413963861756E-2</v>
      </c>
    </row>
    <row r="110" spans="1:17" ht="15" thickBot="1" x14ac:dyDescent="0.35">
      <c r="A110" s="22" t="s">
        <v>60</v>
      </c>
      <c r="B110" s="23" t="s">
        <v>11</v>
      </c>
      <c r="C110">
        <f>E94</f>
        <v>3.2506644874279242</v>
      </c>
    </row>
    <row r="111" spans="1:17" ht="15" thickBot="1" x14ac:dyDescent="0.35">
      <c r="A111" s="22" t="s">
        <v>10</v>
      </c>
      <c r="B111" s="23" t="s">
        <v>7</v>
      </c>
      <c r="C111">
        <f>H89</f>
        <v>0.39531634632155399</v>
      </c>
    </row>
    <row r="112" spans="1:17" ht="15" thickBot="1" x14ac:dyDescent="0.35">
      <c r="A112" s="22" t="s">
        <v>10</v>
      </c>
      <c r="B112" s="23" t="s">
        <v>9</v>
      </c>
      <c r="C112">
        <f>H92</f>
        <v>0.46699729120126654</v>
      </c>
    </row>
    <row r="113" spans="1:3" ht="15" thickBot="1" x14ac:dyDescent="0.35">
      <c r="A113" s="22" t="s">
        <v>10</v>
      </c>
      <c r="B113" s="23" t="s">
        <v>10</v>
      </c>
      <c r="C113">
        <f>H93</f>
        <v>0.54504204105832021</v>
      </c>
    </row>
    <row r="114" spans="1:3" ht="15" thickBot="1" x14ac:dyDescent="0.35">
      <c r="A114" s="22" t="s">
        <v>10</v>
      </c>
      <c r="B114" s="23" t="s">
        <v>11</v>
      </c>
      <c r="C114">
        <f>H94</f>
        <v>0.10080939805025672</v>
      </c>
    </row>
    <row r="115" spans="1:3" ht="15" thickBot="1" x14ac:dyDescent="0.35">
      <c r="A115" s="22" t="s">
        <v>10</v>
      </c>
      <c r="B115" s="23" t="s">
        <v>15</v>
      </c>
      <c r="C115">
        <f>H100</f>
        <v>4.8419886598565741E-2</v>
      </c>
    </row>
    <row r="116" spans="1:3" ht="15" thickBot="1" x14ac:dyDescent="0.35">
      <c r="A116" s="22" t="s">
        <v>11</v>
      </c>
      <c r="B116" s="23" t="s">
        <v>6</v>
      </c>
      <c r="C116">
        <f>I88</f>
        <v>-1.5297892291691748</v>
      </c>
    </row>
    <row r="117" spans="1:3" ht="15" thickBot="1" x14ac:dyDescent="0.35">
      <c r="A117" s="22" t="s">
        <v>11</v>
      </c>
      <c r="B117" s="23" t="s">
        <v>7</v>
      </c>
      <c r="C117">
        <f>I89</f>
        <v>0.70735072603145244</v>
      </c>
    </row>
    <row r="118" spans="1:3" ht="15" thickBot="1" x14ac:dyDescent="0.35">
      <c r="A118" s="22" t="s">
        <v>11</v>
      </c>
      <c r="B118" s="23" t="s">
        <v>9</v>
      </c>
      <c r="C118">
        <f>I92</f>
        <v>-4.0024524602970093</v>
      </c>
    </row>
    <row r="119" spans="1:3" ht="15" thickBot="1" x14ac:dyDescent="0.35">
      <c r="A119" s="22" t="s">
        <v>11</v>
      </c>
      <c r="B119" s="23" t="s">
        <v>12</v>
      </c>
      <c r="C119">
        <f>I95</f>
        <v>-1.2684434093750887</v>
      </c>
    </row>
    <row r="120" spans="1:3" ht="15" thickBot="1" x14ac:dyDescent="0.35">
      <c r="A120" s="22" t="s">
        <v>11</v>
      </c>
      <c r="B120" s="23" t="s">
        <v>13</v>
      </c>
      <c r="C120">
        <f>I97</f>
        <v>0.43973046697232188</v>
      </c>
    </row>
    <row r="121" spans="1:3" ht="15" thickBot="1" x14ac:dyDescent="0.35">
      <c r="A121" s="22" t="s">
        <v>11</v>
      </c>
      <c r="B121" s="23" t="s">
        <v>14</v>
      </c>
      <c r="C121">
        <f>I99</f>
        <v>2.8942347304538498</v>
      </c>
    </row>
    <row r="122" spans="1:3" ht="15" thickBot="1" x14ac:dyDescent="0.35">
      <c r="A122" s="22" t="s">
        <v>11</v>
      </c>
      <c r="B122" s="23" t="s">
        <v>15</v>
      </c>
      <c r="C122">
        <f>I100</f>
        <v>1.9477588014556151</v>
      </c>
    </row>
    <row r="123" spans="1:3" ht="15" thickBot="1" x14ac:dyDescent="0.35">
      <c r="A123" s="22" t="s">
        <v>12</v>
      </c>
      <c r="B123" s="23" t="s">
        <v>62</v>
      </c>
      <c r="C123">
        <f>J98</f>
        <v>-1.7929577014718729</v>
      </c>
    </row>
    <row r="124" spans="1:3" ht="15" thickBot="1" x14ac:dyDescent="0.35">
      <c r="A124" s="22" t="s">
        <v>61</v>
      </c>
      <c r="B124" s="23" t="s">
        <v>9</v>
      </c>
      <c r="C124">
        <f>K92</f>
        <v>1.7040486361469875</v>
      </c>
    </row>
    <row r="125" spans="1:3" ht="15" thickBot="1" x14ac:dyDescent="0.35">
      <c r="A125" s="22" t="s">
        <v>61</v>
      </c>
      <c r="B125" s="23" t="s">
        <v>12</v>
      </c>
      <c r="C125">
        <f>K95</f>
        <v>1.5327784934934223</v>
      </c>
    </row>
    <row r="126" spans="1:3" ht="15" thickBot="1" x14ac:dyDescent="0.35">
      <c r="A126" s="22" t="s">
        <v>13</v>
      </c>
      <c r="B126" s="23" t="s">
        <v>9</v>
      </c>
      <c r="C126">
        <f>L92</f>
        <v>-0.29243774707608922</v>
      </c>
    </row>
    <row r="127" spans="1:3" ht="15" thickBot="1" x14ac:dyDescent="0.35">
      <c r="A127" s="22" t="s">
        <v>13</v>
      </c>
      <c r="B127" s="23" t="s">
        <v>14</v>
      </c>
      <c r="C127">
        <f>L99</f>
        <v>-3.0286668433410466</v>
      </c>
    </row>
    <row r="128" spans="1:3" ht="15" thickBot="1" x14ac:dyDescent="0.35">
      <c r="A128" s="22" t="s">
        <v>13</v>
      </c>
      <c r="B128" s="23" t="s">
        <v>15</v>
      </c>
      <c r="C128">
        <f>L100</f>
        <v>-1.54060527834609</v>
      </c>
    </row>
    <row r="129" spans="1:12" ht="15" thickBot="1" x14ac:dyDescent="0.35">
      <c r="A129" s="22" t="s">
        <v>62</v>
      </c>
      <c r="B129" s="23" t="s">
        <v>6</v>
      </c>
      <c r="C129">
        <f>M88</f>
        <v>-1.7713739929843959</v>
      </c>
    </row>
    <row r="130" spans="1:12" ht="15" thickBot="1" x14ac:dyDescent="0.35">
      <c r="A130" s="22" t="s">
        <v>14</v>
      </c>
      <c r="B130" s="23" t="s">
        <v>8</v>
      </c>
      <c r="C130">
        <f>N91</f>
        <v>1.8064603043641427</v>
      </c>
    </row>
    <row r="131" spans="1:12" ht="15" thickBot="1" x14ac:dyDescent="0.35">
      <c r="A131" s="22" t="s">
        <v>16</v>
      </c>
      <c r="B131" s="23" t="s">
        <v>5</v>
      </c>
      <c r="C131">
        <f>P87</f>
        <v>0.92380923986478547</v>
      </c>
    </row>
    <row r="133" spans="1:12" ht="15" thickBot="1" x14ac:dyDescent="0.35"/>
    <row r="134" spans="1:12" ht="125.4" thickBot="1" x14ac:dyDescent="0.35">
      <c r="A134" s="20" t="s">
        <v>73</v>
      </c>
      <c r="B134" s="21" t="s">
        <v>74</v>
      </c>
      <c r="C134" s="20" t="s">
        <v>75</v>
      </c>
      <c r="D134" s="21" t="s">
        <v>76</v>
      </c>
      <c r="E134" s="21" t="s">
        <v>77</v>
      </c>
      <c r="F134" s="21" t="s">
        <v>78</v>
      </c>
      <c r="G134" s="24" t="s">
        <v>80</v>
      </c>
      <c r="H134" s="25" t="s">
        <v>81</v>
      </c>
      <c r="I134" s="26" t="s">
        <v>82</v>
      </c>
      <c r="K134" t="s">
        <v>88</v>
      </c>
      <c r="L134" t="s">
        <v>89</v>
      </c>
    </row>
    <row r="135" spans="1:12" ht="15" thickBot="1" x14ac:dyDescent="0.35">
      <c r="A135" s="22" t="s">
        <v>5</v>
      </c>
      <c r="B135" s="23" t="s">
        <v>6</v>
      </c>
      <c r="C135" s="27">
        <v>-1.1672013354497313</v>
      </c>
      <c r="D135" s="27">
        <v>-0.92589685898283181</v>
      </c>
      <c r="E135" s="27">
        <v>-1.0134400812834528</v>
      </c>
      <c r="F135" s="27">
        <v>-0.81833305970193693</v>
      </c>
      <c r="G135" s="27">
        <f>ABS(C135-D135)</f>
        <v>0.24130447646689945</v>
      </c>
      <c r="H135" s="27">
        <f>ABS(E135-F135)</f>
        <v>0.19510702158151583</v>
      </c>
      <c r="I135">
        <f>G135-H135</f>
        <v>4.6197454885383626E-2</v>
      </c>
      <c r="J135" s="28" t="s">
        <v>83</v>
      </c>
      <c r="K135">
        <v>7</v>
      </c>
      <c r="L135">
        <v>9</v>
      </c>
    </row>
    <row r="136" spans="1:12" ht="15" thickBot="1" x14ac:dyDescent="0.35">
      <c r="A136" s="22" t="s">
        <v>6</v>
      </c>
      <c r="B136" s="23" t="s">
        <v>14</v>
      </c>
      <c r="C136" s="27">
        <v>-1.5733259134754158</v>
      </c>
      <c r="D136" s="27">
        <v>0.10555266183019535</v>
      </c>
      <c r="E136" s="27">
        <v>-1.8291866597303188</v>
      </c>
      <c r="F136" s="27">
        <v>-1.1653000327580116</v>
      </c>
      <c r="G136" s="27">
        <f t="shared" ref="G136:G162" si="47">ABS(C136-D136)</f>
        <v>1.6788785753056112</v>
      </c>
      <c r="H136" s="27">
        <f t="shared" ref="H136:H162" si="48">ABS(E136-F136)</f>
        <v>0.66388662697230716</v>
      </c>
      <c r="I136">
        <f t="shared" ref="I136:I162" si="49">G136-H136</f>
        <v>1.0149919483333041</v>
      </c>
      <c r="J136" s="28" t="s">
        <v>83</v>
      </c>
      <c r="K136">
        <v>19</v>
      </c>
      <c r="L136">
        <v>14</v>
      </c>
    </row>
    <row r="137" spans="1:12" ht="15" thickBot="1" x14ac:dyDescent="0.35">
      <c r="A137" s="22" t="s">
        <v>7</v>
      </c>
      <c r="B137" s="23" t="s">
        <v>9</v>
      </c>
      <c r="C137" s="27">
        <v>0.27964603867183396</v>
      </c>
      <c r="D137" s="27">
        <v>0.47800382359574112</v>
      </c>
      <c r="E137" s="27">
        <v>1.7429246761198128E-2</v>
      </c>
      <c r="F137" s="27">
        <v>0.18642763336699919</v>
      </c>
      <c r="G137" s="27">
        <f t="shared" si="47"/>
        <v>0.19835778492390715</v>
      </c>
      <c r="H137" s="27">
        <f t="shared" si="48"/>
        <v>0.16899838660580108</v>
      </c>
      <c r="I137">
        <f t="shared" si="49"/>
        <v>2.9359398318106078E-2</v>
      </c>
      <c r="J137" s="28" t="s">
        <v>83</v>
      </c>
      <c r="K137">
        <v>4</v>
      </c>
      <c r="L137">
        <v>8</v>
      </c>
    </row>
    <row r="138" spans="1:12" ht="15" thickBot="1" x14ac:dyDescent="0.35">
      <c r="A138" s="22" t="s">
        <v>7</v>
      </c>
      <c r="B138" s="23" t="s">
        <v>12</v>
      </c>
      <c r="C138" s="27">
        <v>-7.3572960789945505E-2</v>
      </c>
      <c r="D138" s="27">
        <v>0.32866982288168373</v>
      </c>
      <c r="E138" s="27">
        <v>-4.2518687908563418E-2</v>
      </c>
      <c r="F138" s="27">
        <v>0.22513617065114769</v>
      </c>
      <c r="G138" s="27">
        <f t="shared" si="47"/>
        <v>0.40224278367162924</v>
      </c>
      <c r="H138" s="27">
        <f t="shared" si="48"/>
        <v>0.26765485855971111</v>
      </c>
      <c r="I138">
        <f t="shared" si="49"/>
        <v>0.13458792511191814</v>
      </c>
      <c r="J138" s="28" t="s">
        <v>83</v>
      </c>
      <c r="K138">
        <v>9</v>
      </c>
      <c r="L138">
        <v>10</v>
      </c>
    </row>
    <row r="139" spans="1:12" ht="15" thickBot="1" x14ac:dyDescent="0.35">
      <c r="A139" s="22" t="s">
        <v>7</v>
      </c>
      <c r="B139" s="23" t="s">
        <v>61</v>
      </c>
      <c r="C139" s="27">
        <v>-0.442904423529279</v>
      </c>
      <c r="D139" s="27">
        <v>-0.23988183298335328</v>
      </c>
      <c r="E139" s="27">
        <v>-0.22673666831856604</v>
      </c>
      <c r="F139" s="27">
        <v>-0.29844301943808915</v>
      </c>
      <c r="G139" s="27">
        <f t="shared" si="47"/>
        <v>0.20302259054592572</v>
      </c>
      <c r="H139" s="27">
        <f t="shared" si="48"/>
        <v>7.1706351119523115E-2</v>
      </c>
      <c r="I139">
        <f t="shared" si="49"/>
        <v>0.13131623942640261</v>
      </c>
      <c r="J139" s="28" t="s">
        <v>83</v>
      </c>
      <c r="K139">
        <v>5</v>
      </c>
      <c r="L139">
        <v>5</v>
      </c>
    </row>
    <row r="140" spans="1:12" ht="15" thickBot="1" x14ac:dyDescent="0.35">
      <c r="A140" s="22" t="s">
        <v>7</v>
      </c>
      <c r="B140" s="23" t="s">
        <v>14</v>
      </c>
      <c r="C140" s="27">
        <v>0.28418102467220452</v>
      </c>
      <c r="D140" s="27">
        <v>7.9302413963861756E-2</v>
      </c>
      <c r="E140" s="27">
        <v>0.1979184785084708</v>
      </c>
      <c r="F140" s="27">
        <v>0.20377975980823246</v>
      </c>
      <c r="G140" s="27">
        <f t="shared" si="47"/>
        <v>0.20487861070834276</v>
      </c>
      <c r="H140" s="27">
        <f t="shared" si="48"/>
        <v>5.8612812997616559E-3</v>
      </c>
      <c r="I140">
        <f t="shared" si="49"/>
        <v>0.19901732940858111</v>
      </c>
      <c r="J140" s="28" t="s">
        <v>83</v>
      </c>
      <c r="K140">
        <v>6</v>
      </c>
      <c r="L140">
        <v>2</v>
      </c>
    </row>
    <row r="141" spans="1:12" ht="15" thickBot="1" x14ac:dyDescent="0.35">
      <c r="A141" s="22" t="s">
        <v>60</v>
      </c>
      <c r="B141" s="23" t="s">
        <v>11</v>
      </c>
      <c r="C141" s="27">
        <v>-3.3875125167057103</v>
      </c>
      <c r="D141" s="27">
        <v>3.2506644874279242</v>
      </c>
      <c r="E141" s="27">
        <v>-2.2374364699538765</v>
      </c>
      <c r="F141" s="27">
        <v>1.8749018034807183</v>
      </c>
      <c r="G141" s="27">
        <f t="shared" si="47"/>
        <v>6.6381770041336345</v>
      </c>
      <c r="H141" s="27">
        <f t="shared" si="48"/>
        <v>4.1123382734345952</v>
      </c>
      <c r="I141">
        <f t="shared" si="49"/>
        <v>2.5258387306990393</v>
      </c>
      <c r="J141" s="28" t="s">
        <v>83</v>
      </c>
      <c r="K141">
        <v>26</v>
      </c>
      <c r="L141">
        <v>27</v>
      </c>
    </row>
    <row r="142" spans="1:12" ht="15" thickBot="1" x14ac:dyDescent="0.35">
      <c r="A142" s="22" t="s">
        <v>10</v>
      </c>
      <c r="B142" s="23" t="s">
        <v>7</v>
      </c>
      <c r="C142" s="27">
        <v>0.82636532679091101</v>
      </c>
      <c r="D142" s="27">
        <v>0.39531634632155399</v>
      </c>
      <c r="E142" s="27">
        <v>0.65295583418375536</v>
      </c>
      <c r="F142" s="27">
        <v>0.58499384203459792</v>
      </c>
      <c r="G142" s="27">
        <f t="shared" si="47"/>
        <v>0.43104898046935702</v>
      </c>
      <c r="H142" s="27">
        <f t="shared" si="48"/>
        <v>6.7961992149157435E-2</v>
      </c>
      <c r="I142">
        <f t="shared" si="49"/>
        <v>0.36308698832019959</v>
      </c>
      <c r="J142" s="28" t="s">
        <v>83</v>
      </c>
      <c r="K142">
        <v>10</v>
      </c>
      <c r="L142">
        <v>4</v>
      </c>
    </row>
    <row r="143" spans="1:12" ht="15" thickBot="1" x14ac:dyDescent="0.35">
      <c r="A143" s="22" t="s">
        <v>10</v>
      </c>
      <c r="B143" s="23" t="s">
        <v>9</v>
      </c>
      <c r="C143" s="27">
        <v>-0.73716716688561212</v>
      </c>
      <c r="D143" s="27">
        <v>0.46699729120126654</v>
      </c>
      <c r="E143" s="27">
        <v>-0.45774905674231969</v>
      </c>
      <c r="F143" s="27">
        <v>0.43993393380843904</v>
      </c>
      <c r="G143" s="27">
        <f t="shared" si="47"/>
        <v>1.2041644580868787</v>
      </c>
      <c r="H143" s="27">
        <f t="shared" si="48"/>
        <v>0.89768299055075873</v>
      </c>
      <c r="I143">
        <f t="shared" si="49"/>
        <v>0.30648146753611993</v>
      </c>
      <c r="J143" s="28" t="s">
        <v>83</v>
      </c>
      <c r="K143">
        <v>16</v>
      </c>
      <c r="L143">
        <v>17</v>
      </c>
    </row>
    <row r="144" spans="1:12" ht="15" thickBot="1" x14ac:dyDescent="0.35">
      <c r="A144" s="22" t="s">
        <v>10</v>
      </c>
      <c r="B144" s="23" t="s">
        <v>10</v>
      </c>
      <c r="C144" s="27">
        <v>0.67016840073119921</v>
      </c>
      <c r="D144" s="27">
        <v>0.54504204105832021</v>
      </c>
      <c r="E144" s="27">
        <v>0.7649278963193098</v>
      </c>
      <c r="F144" s="27">
        <v>0.61773485331364797</v>
      </c>
      <c r="G144" s="27">
        <f t="shared" si="47"/>
        <v>0.125126359672879</v>
      </c>
      <c r="H144" s="27">
        <f t="shared" si="48"/>
        <v>0.14719304300566183</v>
      </c>
      <c r="I144">
        <f t="shared" si="49"/>
        <v>-2.2066683332782833E-2</v>
      </c>
      <c r="J144" s="28" t="s">
        <v>84</v>
      </c>
      <c r="K144">
        <v>2</v>
      </c>
      <c r="L144">
        <v>7</v>
      </c>
    </row>
    <row r="145" spans="1:12" ht="15" thickBot="1" x14ac:dyDescent="0.35">
      <c r="A145" s="22" t="s">
        <v>10</v>
      </c>
      <c r="B145" s="23" t="s">
        <v>11</v>
      </c>
      <c r="C145" s="27">
        <v>0.22069064019031245</v>
      </c>
      <c r="D145" s="27">
        <v>0.10080939805025672</v>
      </c>
      <c r="E145" s="27">
        <v>0.21671350484986968</v>
      </c>
      <c r="F145" s="27">
        <v>0.14245079106944922</v>
      </c>
      <c r="G145" s="27">
        <f t="shared" si="47"/>
        <v>0.11988124214005573</v>
      </c>
      <c r="H145" s="27">
        <f t="shared" si="48"/>
        <v>7.4262713780420458E-2</v>
      </c>
      <c r="I145">
        <f t="shared" si="49"/>
        <v>4.5618528359635271E-2</v>
      </c>
      <c r="J145" s="28" t="s">
        <v>83</v>
      </c>
      <c r="K145">
        <v>1</v>
      </c>
      <c r="L145">
        <v>6</v>
      </c>
    </row>
    <row r="146" spans="1:12" ht="15" thickBot="1" x14ac:dyDescent="0.35">
      <c r="A146" s="22" t="s">
        <v>10</v>
      </c>
      <c r="B146" s="23" t="s">
        <v>15</v>
      </c>
      <c r="C146" s="27">
        <v>0.55631321954237678</v>
      </c>
      <c r="D146" s="27">
        <v>4.8419886598565741E-2</v>
      </c>
      <c r="E146" s="27">
        <v>0.55494643438597202</v>
      </c>
      <c r="F146" s="27">
        <v>9.997726418943452E-2</v>
      </c>
      <c r="G146" s="27">
        <f t="shared" si="47"/>
        <v>0.507893332943811</v>
      </c>
      <c r="H146" s="27">
        <f t="shared" si="48"/>
        <v>0.45496917019653749</v>
      </c>
      <c r="I146">
        <f t="shared" si="49"/>
        <v>5.2924162747273518E-2</v>
      </c>
      <c r="J146" s="28" t="s">
        <v>83</v>
      </c>
      <c r="K146">
        <v>11</v>
      </c>
      <c r="L146">
        <v>12</v>
      </c>
    </row>
    <row r="147" spans="1:12" ht="15" thickBot="1" x14ac:dyDescent="0.35">
      <c r="A147" s="22" t="s">
        <v>11</v>
      </c>
      <c r="B147" s="23" t="s">
        <v>6</v>
      </c>
      <c r="C147" s="27">
        <v>-2.4438462486461163</v>
      </c>
      <c r="D147" s="27">
        <v>-1.5297892291691748</v>
      </c>
      <c r="E147" s="27">
        <v>-1.5269726881319645</v>
      </c>
      <c r="F147" s="27">
        <v>-1.2190878743155034</v>
      </c>
      <c r="G147" s="27">
        <f t="shared" si="47"/>
        <v>0.91405701947694151</v>
      </c>
      <c r="H147" s="27">
        <f t="shared" si="48"/>
        <v>0.30788481381646116</v>
      </c>
      <c r="I147">
        <f t="shared" si="49"/>
        <v>0.60617220566048036</v>
      </c>
      <c r="J147" s="28" t="s">
        <v>83</v>
      </c>
      <c r="K147">
        <v>12</v>
      </c>
      <c r="L147">
        <v>11</v>
      </c>
    </row>
    <row r="148" spans="1:12" ht="15" thickBot="1" x14ac:dyDescent="0.35">
      <c r="A148" s="22" t="s">
        <v>11</v>
      </c>
      <c r="B148" s="23" t="s">
        <v>7</v>
      </c>
      <c r="C148" s="27">
        <v>-1.4852744085590259</v>
      </c>
      <c r="D148" s="27">
        <v>0.70735072603145244</v>
      </c>
      <c r="E148" s="27">
        <v>-1.0488570366692156</v>
      </c>
      <c r="F148" s="27">
        <v>0.1671939735645312</v>
      </c>
      <c r="G148" s="27">
        <f t="shared" si="47"/>
        <v>2.1926251345904784</v>
      </c>
      <c r="H148" s="27">
        <f t="shared" si="48"/>
        <v>1.2160510102337467</v>
      </c>
      <c r="I148">
        <f t="shared" si="49"/>
        <v>0.97657412435673163</v>
      </c>
      <c r="J148" s="28" t="s">
        <v>83</v>
      </c>
      <c r="K148">
        <v>21</v>
      </c>
      <c r="L148">
        <v>21</v>
      </c>
    </row>
    <row r="149" spans="1:12" ht="15" thickBot="1" x14ac:dyDescent="0.35">
      <c r="A149" s="22" t="s">
        <v>11</v>
      </c>
      <c r="B149" s="23" t="s">
        <v>9</v>
      </c>
      <c r="C149" s="27">
        <v>2.9870960868914778</v>
      </c>
      <c r="D149" s="27">
        <v>-4.0024524602970093</v>
      </c>
      <c r="E149" s="27">
        <v>1.768878404145493</v>
      </c>
      <c r="F149" s="27">
        <v>-2.6644444841715282</v>
      </c>
      <c r="G149" s="27">
        <f t="shared" si="47"/>
        <v>6.9895485471884875</v>
      </c>
      <c r="H149" s="27">
        <f t="shared" si="48"/>
        <v>4.4333228883170213</v>
      </c>
      <c r="I149">
        <f t="shared" si="49"/>
        <v>2.5562256588714662</v>
      </c>
      <c r="J149" s="28" t="s">
        <v>83</v>
      </c>
      <c r="K149">
        <v>28</v>
      </c>
      <c r="L149">
        <v>28</v>
      </c>
    </row>
    <row r="150" spans="1:12" ht="15" thickBot="1" x14ac:dyDescent="0.35">
      <c r="A150" s="22" t="s">
        <v>11</v>
      </c>
      <c r="B150" s="23" t="s">
        <v>12</v>
      </c>
      <c r="C150" s="27">
        <v>-0.12373154839822605</v>
      </c>
      <c r="D150" s="27">
        <v>-1.2684434093750887</v>
      </c>
      <c r="E150" s="27">
        <v>-5.7082048798325321E-3</v>
      </c>
      <c r="F150" s="27">
        <v>-1.0247438797751913</v>
      </c>
      <c r="G150" s="27">
        <f t="shared" si="47"/>
        <v>1.1447118609768627</v>
      </c>
      <c r="H150" s="27">
        <f t="shared" si="48"/>
        <v>1.0190356748953588</v>
      </c>
      <c r="I150">
        <f t="shared" si="49"/>
        <v>0.12567618608150388</v>
      </c>
      <c r="J150" s="28" t="s">
        <v>83</v>
      </c>
      <c r="K150">
        <v>15</v>
      </c>
      <c r="L150">
        <v>19</v>
      </c>
    </row>
    <row r="151" spans="1:12" ht="15" thickBot="1" x14ac:dyDescent="0.35">
      <c r="A151" s="22" t="s">
        <v>11</v>
      </c>
      <c r="B151" s="23" t="s">
        <v>13</v>
      </c>
      <c r="C151" s="27">
        <v>-0.86624598114657236</v>
      </c>
      <c r="D151" s="27">
        <v>0.43973046697232188</v>
      </c>
      <c r="E151" s="27">
        <v>-0.95108541833477489</v>
      </c>
      <c r="F151" s="27">
        <v>-0.2858503262196187</v>
      </c>
      <c r="G151" s="27">
        <f t="shared" si="47"/>
        <v>1.3059764481188942</v>
      </c>
      <c r="H151" s="27">
        <f t="shared" si="48"/>
        <v>0.66523509211515619</v>
      </c>
      <c r="I151">
        <f t="shared" si="49"/>
        <v>0.64074135600373805</v>
      </c>
      <c r="J151" s="28" t="s">
        <v>83</v>
      </c>
      <c r="K151">
        <v>18</v>
      </c>
      <c r="L151">
        <v>15</v>
      </c>
    </row>
    <row r="152" spans="1:12" ht="15" thickBot="1" x14ac:dyDescent="0.35">
      <c r="A152" s="22" t="s">
        <v>11</v>
      </c>
      <c r="B152" s="23" t="s">
        <v>14</v>
      </c>
      <c r="C152" s="27">
        <v>8.8523304579815776E-2</v>
      </c>
      <c r="D152" s="27">
        <v>2.8942347304538498</v>
      </c>
      <c r="E152" s="27">
        <v>-0.5107511966278957</v>
      </c>
      <c r="F152" s="27">
        <v>1.0438700466431281</v>
      </c>
      <c r="G152" s="27">
        <f t="shared" si="47"/>
        <v>2.8057114258740339</v>
      </c>
      <c r="H152" s="27">
        <f t="shared" si="48"/>
        <v>1.5546212432710238</v>
      </c>
      <c r="I152">
        <f t="shared" si="49"/>
        <v>1.2510901826030101</v>
      </c>
      <c r="J152" s="28" t="s">
        <v>83</v>
      </c>
      <c r="K152">
        <v>23</v>
      </c>
      <c r="L152">
        <v>22</v>
      </c>
    </row>
    <row r="153" spans="1:12" ht="15" thickBot="1" x14ac:dyDescent="0.35">
      <c r="A153" s="22" t="s">
        <v>11</v>
      </c>
      <c r="B153" s="23" t="s">
        <v>15</v>
      </c>
      <c r="C153" s="27">
        <v>-1.9832439149172112</v>
      </c>
      <c r="D153" s="27">
        <v>1.9477588014556151</v>
      </c>
      <c r="E153" s="27">
        <v>-1.5239110133135065</v>
      </c>
      <c r="F153" s="27">
        <v>1.0363225093544466</v>
      </c>
      <c r="G153" s="27">
        <f t="shared" si="47"/>
        <v>3.9310027163728263</v>
      </c>
      <c r="H153" s="27">
        <f t="shared" si="48"/>
        <v>2.5602335226679531</v>
      </c>
      <c r="I153">
        <f t="shared" si="49"/>
        <v>1.3707691937048732</v>
      </c>
      <c r="J153" s="28" t="s">
        <v>83</v>
      </c>
      <c r="K153">
        <v>25</v>
      </c>
      <c r="L153">
        <v>25</v>
      </c>
    </row>
    <row r="154" spans="1:12" ht="15" thickBot="1" x14ac:dyDescent="0.35">
      <c r="A154" s="22" t="s">
        <v>12</v>
      </c>
      <c r="B154" s="23" t="s">
        <v>62</v>
      </c>
      <c r="C154" s="27">
        <v>-2.8500068608383908</v>
      </c>
      <c r="D154" s="27">
        <v>-1.7929577014718729</v>
      </c>
      <c r="E154" s="27">
        <v>-2.016154473762874</v>
      </c>
      <c r="F154" s="27">
        <v>-1.4473137027234164</v>
      </c>
      <c r="G154" s="27">
        <f t="shared" si="47"/>
        <v>1.0570491593665179</v>
      </c>
      <c r="H154" s="27">
        <f t="shared" si="48"/>
        <v>0.56884077103945763</v>
      </c>
      <c r="I154">
        <f t="shared" si="49"/>
        <v>0.48820838832706026</v>
      </c>
      <c r="J154" s="28" t="s">
        <v>83</v>
      </c>
      <c r="K154">
        <v>14</v>
      </c>
      <c r="L154">
        <v>13</v>
      </c>
    </row>
    <row r="155" spans="1:12" ht="15" thickBot="1" x14ac:dyDescent="0.35">
      <c r="A155" s="22" t="s">
        <v>61</v>
      </c>
      <c r="B155" s="23" t="s">
        <v>9</v>
      </c>
      <c r="C155" s="27">
        <v>0.77435577961253388</v>
      </c>
      <c r="D155" s="27">
        <v>1.7040486361469875</v>
      </c>
      <c r="E155" s="27">
        <v>-1.1457839572942683</v>
      </c>
      <c r="F155" s="27">
        <v>-5.3034226239735943E-2</v>
      </c>
      <c r="G155" s="27">
        <f t="shared" si="47"/>
        <v>0.92969285653445366</v>
      </c>
      <c r="H155" s="27">
        <f t="shared" si="48"/>
        <v>1.0927497310545324</v>
      </c>
      <c r="I155">
        <f t="shared" si="49"/>
        <v>-0.16305687452007878</v>
      </c>
      <c r="J155" s="28" t="s">
        <v>84</v>
      </c>
      <c r="K155">
        <v>13</v>
      </c>
      <c r="L155">
        <v>20</v>
      </c>
    </row>
    <row r="156" spans="1:12" ht="15" thickBot="1" x14ac:dyDescent="0.35">
      <c r="A156" s="22" t="s">
        <v>61</v>
      </c>
      <c r="B156" s="23" t="s">
        <v>12</v>
      </c>
      <c r="C156" s="27">
        <v>-0.54876502163508634</v>
      </c>
      <c r="D156" s="27">
        <v>1.5327784934934223</v>
      </c>
      <c r="E156" s="27">
        <v>-4.2507260365958616E-2</v>
      </c>
      <c r="F156" s="27">
        <v>0.63719570955149796</v>
      </c>
      <c r="G156" s="27">
        <f t="shared" si="47"/>
        <v>2.0815435151285087</v>
      </c>
      <c r="H156" s="27">
        <f t="shared" si="48"/>
        <v>0.6797029699174566</v>
      </c>
      <c r="I156">
        <f t="shared" si="49"/>
        <v>1.4018405452110521</v>
      </c>
      <c r="J156" s="28" t="s">
        <v>83</v>
      </c>
      <c r="K156">
        <v>20</v>
      </c>
      <c r="L156">
        <v>16</v>
      </c>
    </row>
    <row r="157" spans="1:12" ht="15" thickBot="1" x14ac:dyDescent="0.35">
      <c r="A157" s="22" t="s">
        <v>13</v>
      </c>
      <c r="B157" s="23" t="s">
        <v>9</v>
      </c>
      <c r="C157" s="27">
        <v>-2.9527940988546217</v>
      </c>
      <c r="D157" s="27">
        <v>-0.29243774707608922</v>
      </c>
      <c r="E157" s="27">
        <v>-1.6189177123596112</v>
      </c>
      <c r="F157" s="27">
        <v>0.48590527826509405</v>
      </c>
      <c r="G157" s="27">
        <f t="shared" si="47"/>
        <v>2.6603563517785327</v>
      </c>
      <c r="H157" s="27">
        <f t="shared" si="48"/>
        <v>2.1048229906247053</v>
      </c>
      <c r="I157">
        <f t="shared" si="49"/>
        <v>0.55553336115382734</v>
      </c>
      <c r="J157" s="28" t="s">
        <v>83</v>
      </c>
      <c r="K157">
        <v>22</v>
      </c>
      <c r="L157">
        <v>24</v>
      </c>
    </row>
    <row r="158" spans="1:12" ht="15" thickBot="1" x14ac:dyDescent="0.35">
      <c r="A158" s="22" t="s">
        <v>13</v>
      </c>
      <c r="B158" s="23" t="s">
        <v>14</v>
      </c>
      <c r="C158" s="27">
        <v>-2.279063304065471E-2</v>
      </c>
      <c r="D158" s="27">
        <v>-3.0286668433410466</v>
      </c>
      <c r="E158" s="27">
        <v>3.2959505096975283E-3</v>
      </c>
      <c r="F158" s="27">
        <v>-0.98642235478710927</v>
      </c>
      <c r="G158" s="27">
        <f t="shared" si="47"/>
        <v>3.005876210300392</v>
      </c>
      <c r="H158" s="27">
        <f t="shared" si="48"/>
        <v>0.98971830529680682</v>
      </c>
      <c r="I158">
        <f t="shared" si="49"/>
        <v>2.0161579050035852</v>
      </c>
      <c r="J158" s="28" t="s">
        <v>83</v>
      </c>
      <c r="K158">
        <v>24</v>
      </c>
      <c r="L158">
        <v>18</v>
      </c>
    </row>
    <row r="159" spans="1:12" ht="15" thickBot="1" x14ac:dyDescent="0.35">
      <c r="A159" s="22" t="s">
        <v>13</v>
      </c>
      <c r="B159" s="23" t="s">
        <v>15</v>
      </c>
      <c r="C159" s="27">
        <v>-0.25954746744906587</v>
      </c>
      <c r="D159" s="27">
        <v>-1.54060527834609</v>
      </c>
      <c r="E159" s="27">
        <v>0.34201826369666072</v>
      </c>
      <c r="F159" s="27">
        <v>-1.2693856785066511</v>
      </c>
      <c r="G159" s="27">
        <f t="shared" si="47"/>
        <v>1.2810578108970241</v>
      </c>
      <c r="H159" s="27">
        <f t="shared" si="48"/>
        <v>1.6114039422033117</v>
      </c>
      <c r="I159">
        <f t="shared" si="49"/>
        <v>-0.33034613130628765</v>
      </c>
      <c r="J159" s="28" t="s">
        <v>84</v>
      </c>
      <c r="K159">
        <v>17</v>
      </c>
      <c r="L159">
        <v>23</v>
      </c>
    </row>
    <row r="160" spans="1:12" ht="15" thickBot="1" x14ac:dyDescent="0.35">
      <c r="A160" s="22" t="s">
        <v>62</v>
      </c>
      <c r="B160" s="23" t="s">
        <v>6</v>
      </c>
      <c r="C160" s="27">
        <v>5.2123430520955552</v>
      </c>
      <c r="D160" s="27">
        <v>-1.7713739929843959</v>
      </c>
      <c r="E160" s="27">
        <v>2.8647843143990692</v>
      </c>
      <c r="F160" s="27">
        <v>-1.1218277611727976</v>
      </c>
      <c r="G160" s="27">
        <f t="shared" si="47"/>
        <v>6.9837170450799508</v>
      </c>
      <c r="H160" s="27">
        <f t="shared" si="48"/>
        <v>3.986612075571867</v>
      </c>
      <c r="I160">
        <f t="shared" si="49"/>
        <v>2.9971049695080838</v>
      </c>
      <c r="J160" s="28" t="s">
        <v>83</v>
      </c>
      <c r="K160">
        <v>27</v>
      </c>
      <c r="L160">
        <v>26</v>
      </c>
    </row>
    <row r="161" spans="1:12" ht="15" thickBot="1" x14ac:dyDescent="0.35">
      <c r="A161" s="22" t="s">
        <v>14</v>
      </c>
      <c r="B161" s="23" t="s">
        <v>8</v>
      </c>
      <c r="C161" s="27">
        <v>1.5180198066137216</v>
      </c>
      <c r="D161" s="27">
        <v>1.8064603043641427</v>
      </c>
      <c r="E161" s="27">
        <v>0.74603716639516737</v>
      </c>
      <c r="F161" s="27">
        <v>0.74867829394349406</v>
      </c>
      <c r="G161" s="27">
        <f t="shared" si="47"/>
        <v>0.28844049775042113</v>
      </c>
      <c r="H161" s="27">
        <f t="shared" si="48"/>
        <v>2.6411275483266827E-3</v>
      </c>
      <c r="I161">
        <f t="shared" si="49"/>
        <v>0.28579937020209445</v>
      </c>
      <c r="J161" s="28" t="s">
        <v>83</v>
      </c>
      <c r="K161">
        <v>8</v>
      </c>
      <c r="L161">
        <v>1</v>
      </c>
    </row>
    <row r="162" spans="1:12" ht="15" thickBot="1" x14ac:dyDescent="0.35">
      <c r="A162" s="22" t="s">
        <v>16</v>
      </c>
      <c r="B162" s="23" t="s">
        <v>5</v>
      </c>
      <c r="C162" s="27">
        <v>0.77151064664036784</v>
      </c>
      <c r="D162" s="27">
        <v>0.92380923986478547</v>
      </c>
      <c r="E162" s="27">
        <v>0.88186900857533923</v>
      </c>
      <c r="F162" s="27">
        <v>0.93780954244916237</v>
      </c>
      <c r="G162" s="27">
        <f t="shared" si="47"/>
        <v>0.15229859322441763</v>
      </c>
      <c r="H162" s="27">
        <f t="shared" si="48"/>
        <v>5.5940533873823139E-2</v>
      </c>
      <c r="I162">
        <f t="shared" si="49"/>
        <v>9.6358059350594494E-2</v>
      </c>
      <c r="J162" s="28" t="s">
        <v>83</v>
      </c>
      <c r="K162">
        <v>3</v>
      </c>
      <c r="L162">
        <v>3</v>
      </c>
    </row>
    <row r="165" spans="1:12" x14ac:dyDescent="0.3">
      <c r="F165" t="s">
        <v>86</v>
      </c>
      <c r="G165" t="s">
        <v>87</v>
      </c>
      <c r="H165" t="s">
        <v>85</v>
      </c>
    </row>
    <row r="166" spans="1:12" ht="15" thickBot="1" x14ac:dyDescent="0.35">
      <c r="A166" s="22" t="s">
        <v>14</v>
      </c>
      <c r="B166" s="23" t="s">
        <v>8</v>
      </c>
      <c r="C166">
        <v>2.6411275483266827E-3</v>
      </c>
      <c r="F166">
        <v>1</v>
      </c>
      <c r="G166">
        <v>0.19510702158151583</v>
      </c>
      <c r="H166">
        <v>9</v>
      </c>
    </row>
    <row r="167" spans="1:12" ht="15" thickBot="1" x14ac:dyDescent="0.35">
      <c r="A167" s="22" t="s">
        <v>7</v>
      </c>
      <c r="B167" s="23" t="s">
        <v>14</v>
      </c>
      <c r="C167">
        <v>5.8612812997616559E-3</v>
      </c>
      <c r="F167">
        <v>2</v>
      </c>
      <c r="G167">
        <v>0.66388662697230716</v>
      </c>
      <c r="H167">
        <v>14</v>
      </c>
    </row>
    <row r="168" spans="1:12" ht="15" thickBot="1" x14ac:dyDescent="0.35">
      <c r="A168" s="22" t="s">
        <v>16</v>
      </c>
      <c r="B168" s="23" t="s">
        <v>5</v>
      </c>
      <c r="C168">
        <v>5.5940533873823139E-2</v>
      </c>
      <c r="F168">
        <v>3</v>
      </c>
      <c r="G168">
        <v>0.16899838660580108</v>
      </c>
      <c r="H168">
        <v>8</v>
      </c>
    </row>
    <row r="169" spans="1:12" ht="15" thickBot="1" x14ac:dyDescent="0.35">
      <c r="A169" s="22" t="s">
        <v>10</v>
      </c>
      <c r="B169" s="23" t="s">
        <v>7</v>
      </c>
      <c r="C169">
        <v>6.7961992149157435E-2</v>
      </c>
      <c r="F169">
        <v>4</v>
      </c>
      <c r="G169">
        <v>0.26765485855971111</v>
      </c>
      <c r="H169">
        <v>10</v>
      </c>
    </row>
    <row r="170" spans="1:12" ht="15" thickBot="1" x14ac:dyDescent="0.35">
      <c r="A170" s="22" t="s">
        <v>7</v>
      </c>
      <c r="B170" s="23" t="s">
        <v>61</v>
      </c>
      <c r="C170">
        <v>7.1706351119523115E-2</v>
      </c>
      <c r="F170">
        <v>5</v>
      </c>
      <c r="G170">
        <v>7.1706351119523115E-2</v>
      </c>
      <c r="H170">
        <v>5</v>
      </c>
    </row>
    <row r="171" spans="1:12" ht="15" thickBot="1" x14ac:dyDescent="0.35">
      <c r="A171" s="22" t="s">
        <v>10</v>
      </c>
      <c r="B171" s="23" t="s">
        <v>11</v>
      </c>
      <c r="C171">
        <v>7.4262713780420458E-2</v>
      </c>
      <c r="F171">
        <v>6</v>
      </c>
      <c r="G171">
        <v>5.8612812997616559E-3</v>
      </c>
      <c r="H171">
        <v>2</v>
      </c>
    </row>
    <row r="172" spans="1:12" ht="15" thickBot="1" x14ac:dyDescent="0.35">
      <c r="A172" s="22" t="s">
        <v>10</v>
      </c>
      <c r="B172" s="23" t="s">
        <v>10</v>
      </c>
      <c r="C172">
        <v>0.14719304300566183</v>
      </c>
      <c r="F172">
        <v>7</v>
      </c>
      <c r="G172">
        <v>4.1123382734345952</v>
      </c>
      <c r="H172">
        <v>27</v>
      </c>
    </row>
    <row r="173" spans="1:12" ht="15" thickBot="1" x14ac:dyDescent="0.35">
      <c r="A173" s="22" t="s">
        <v>7</v>
      </c>
      <c r="B173" s="23" t="s">
        <v>9</v>
      </c>
      <c r="C173">
        <v>0.16899838660580108</v>
      </c>
      <c r="F173">
        <v>8</v>
      </c>
      <c r="G173">
        <v>6.7961992149157435E-2</v>
      </c>
      <c r="H173">
        <v>4</v>
      </c>
    </row>
    <row r="174" spans="1:12" ht="15" thickBot="1" x14ac:dyDescent="0.35">
      <c r="A174" s="22" t="s">
        <v>5</v>
      </c>
      <c r="B174" s="23" t="s">
        <v>6</v>
      </c>
      <c r="C174">
        <v>0.19510702158151583</v>
      </c>
      <c r="F174">
        <v>9</v>
      </c>
      <c r="G174">
        <v>0.89768299055075873</v>
      </c>
      <c r="H174">
        <v>17</v>
      </c>
    </row>
    <row r="175" spans="1:12" ht="15" thickBot="1" x14ac:dyDescent="0.35">
      <c r="A175" s="22" t="s">
        <v>7</v>
      </c>
      <c r="B175" s="23" t="s">
        <v>12</v>
      </c>
      <c r="C175">
        <v>0.26765485855971111</v>
      </c>
      <c r="F175">
        <v>10</v>
      </c>
      <c r="G175">
        <v>0.14719304300566183</v>
      </c>
      <c r="H175">
        <v>7</v>
      </c>
    </row>
    <row r="176" spans="1:12" ht="15" thickBot="1" x14ac:dyDescent="0.35">
      <c r="A176" s="22" t="s">
        <v>11</v>
      </c>
      <c r="B176" s="23" t="s">
        <v>6</v>
      </c>
      <c r="C176">
        <v>0.30788481381646116</v>
      </c>
      <c r="F176">
        <v>11</v>
      </c>
      <c r="G176">
        <v>7.4262713780420458E-2</v>
      </c>
      <c r="H176">
        <v>6</v>
      </c>
    </row>
    <row r="177" spans="1:8" ht="15" thickBot="1" x14ac:dyDescent="0.35">
      <c r="A177" s="22" t="s">
        <v>10</v>
      </c>
      <c r="B177" s="23" t="s">
        <v>15</v>
      </c>
      <c r="C177">
        <v>0.45496917019653749</v>
      </c>
      <c r="F177">
        <v>12</v>
      </c>
      <c r="G177">
        <v>0.45496917019653749</v>
      </c>
      <c r="H177">
        <v>12</v>
      </c>
    </row>
    <row r="178" spans="1:8" ht="15" thickBot="1" x14ac:dyDescent="0.35">
      <c r="A178" s="22" t="s">
        <v>12</v>
      </c>
      <c r="B178" s="23" t="s">
        <v>62</v>
      </c>
      <c r="C178">
        <v>0.56884077103945763</v>
      </c>
      <c r="F178">
        <v>13</v>
      </c>
      <c r="G178">
        <v>0.30788481381646116</v>
      </c>
      <c r="H178">
        <v>11</v>
      </c>
    </row>
    <row r="179" spans="1:8" ht="15" thickBot="1" x14ac:dyDescent="0.35">
      <c r="A179" s="22" t="s">
        <v>6</v>
      </c>
      <c r="B179" s="23" t="s">
        <v>14</v>
      </c>
      <c r="C179">
        <v>0.66388662697230716</v>
      </c>
      <c r="F179">
        <v>14</v>
      </c>
      <c r="G179">
        <v>1.2160510102337467</v>
      </c>
      <c r="H179">
        <v>21</v>
      </c>
    </row>
    <row r="180" spans="1:8" ht="15" thickBot="1" x14ac:dyDescent="0.35">
      <c r="A180" s="22" t="s">
        <v>11</v>
      </c>
      <c r="B180" s="23" t="s">
        <v>13</v>
      </c>
      <c r="C180">
        <v>0.66523509211515619</v>
      </c>
      <c r="F180">
        <v>15</v>
      </c>
      <c r="G180">
        <v>4.4333228883170213</v>
      </c>
      <c r="H180">
        <v>28</v>
      </c>
    </row>
    <row r="181" spans="1:8" ht="15" thickBot="1" x14ac:dyDescent="0.35">
      <c r="A181" s="22" t="s">
        <v>61</v>
      </c>
      <c r="B181" s="23" t="s">
        <v>12</v>
      </c>
      <c r="C181">
        <v>0.6797029699174566</v>
      </c>
      <c r="F181">
        <v>16</v>
      </c>
      <c r="G181">
        <v>1.0190356748953588</v>
      </c>
      <c r="H181">
        <v>19</v>
      </c>
    </row>
    <row r="182" spans="1:8" ht="15" thickBot="1" x14ac:dyDescent="0.35">
      <c r="A182" s="22" t="s">
        <v>10</v>
      </c>
      <c r="B182" s="23" t="s">
        <v>9</v>
      </c>
      <c r="C182">
        <v>0.89768299055075873</v>
      </c>
      <c r="F182">
        <v>17</v>
      </c>
      <c r="G182">
        <v>0.66523509211515619</v>
      </c>
      <c r="H182">
        <v>15</v>
      </c>
    </row>
    <row r="183" spans="1:8" ht="15" thickBot="1" x14ac:dyDescent="0.35">
      <c r="A183" s="22" t="s">
        <v>13</v>
      </c>
      <c r="B183" s="23" t="s">
        <v>14</v>
      </c>
      <c r="C183">
        <v>0.98971830529680682</v>
      </c>
      <c r="F183">
        <v>18</v>
      </c>
      <c r="G183">
        <v>1.5546212432710238</v>
      </c>
      <c r="H183">
        <v>22</v>
      </c>
    </row>
    <row r="184" spans="1:8" ht="15" thickBot="1" x14ac:dyDescent="0.35">
      <c r="A184" s="22" t="s">
        <v>11</v>
      </c>
      <c r="B184" s="23" t="s">
        <v>12</v>
      </c>
      <c r="C184">
        <v>1.0190356748953588</v>
      </c>
      <c r="F184">
        <v>19</v>
      </c>
      <c r="G184">
        <v>2.5602335226679531</v>
      </c>
      <c r="H184">
        <v>25</v>
      </c>
    </row>
    <row r="185" spans="1:8" ht="15" thickBot="1" x14ac:dyDescent="0.35">
      <c r="A185" s="22" t="s">
        <v>61</v>
      </c>
      <c r="B185" s="23" t="s">
        <v>9</v>
      </c>
      <c r="C185">
        <v>1.0927497310545324</v>
      </c>
      <c r="F185">
        <v>20</v>
      </c>
      <c r="G185">
        <v>0.56884077103945763</v>
      </c>
      <c r="H185">
        <v>13</v>
      </c>
    </row>
    <row r="186" spans="1:8" ht="15" thickBot="1" x14ac:dyDescent="0.35">
      <c r="A186" s="22" t="s">
        <v>11</v>
      </c>
      <c r="B186" s="23" t="s">
        <v>7</v>
      </c>
      <c r="C186">
        <v>1.2160510102337467</v>
      </c>
      <c r="F186">
        <v>21</v>
      </c>
      <c r="G186">
        <v>1.0927497310545324</v>
      </c>
      <c r="H186">
        <v>20</v>
      </c>
    </row>
    <row r="187" spans="1:8" ht="15" thickBot="1" x14ac:dyDescent="0.35">
      <c r="A187" s="22" t="s">
        <v>11</v>
      </c>
      <c r="B187" s="23" t="s">
        <v>14</v>
      </c>
      <c r="C187">
        <v>1.5546212432710238</v>
      </c>
      <c r="F187">
        <v>22</v>
      </c>
      <c r="G187">
        <v>0.6797029699174566</v>
      </c>
      <c r="H187">
        <v>16</v>
      </c>
    </row>
    <row r="188" spans="1:8" ht="15" thickBot="1" x14ac:dyDescent="0.35">
      <c r="A188" s="22" t="s">
        <v>13</v>
      </c>
      <c r="B188" s="23" t="s">
        <v>15</v>
      </c>
      <c r="C188">
        <v>1.6114039422033117</v>
      </c>
      <c r="F188">
        <v>23</v>
      </c>
      <c r="G188">
        <v>2.1048229906247053</v>
      </c>
      <c r="H188">
        <v>24</v>
      </c>
    </row>
    <row r="189" spans="1:8" ht="15" thickBot="1" x14ac:dyDescent="0.35">
      <c r="A189" s="22" t="s">
        <v>13</v>
      </c>
      <c r="B189" s="23" t="s">
        <v>9</v>
      </c>
      <c r="C189">
        <v>2.1048229906247053</v>
      </c>
      <c r="F189">
        <v>24</v>
      </c>
      <c r="G189">
        <v>0.98971830529680682</v>
      </c>
      <c r="H189">
        <v>18</v>
      </c>
    </row>
    <row r="190" spans="1:8" ht="15" thickBot="1" x14ac:dyDescent="0.35">
      <c r="A190" s="22" t="s">
        <v>11</v>
      </c>
      <c r="B190" s="23" t="s">
        <v>15</v>
      </c>
      <c r="C190">
        <v>2.5602335226679531</v>
      </c>
      <c r="F190">
        <v>25</v>
      </c>
      <c r="G190">
        <v>1.6114039422033117</v>
      </c>
      <c r="H190">
        <v>23</v>
      </c>
    </row>
    <row r="191" spans="1:8" ht="15" thickBot="1" x14ac:dyDescent="0.35">
      <c r="A191" s="22" t="s">
        <v>62</v>
      </c>
      <c r="B191" s="23" t="s">
        <v>6</v>
      </c>
      <c r="C191">
        <v>3.986612075571867</v>
      </c>
      <c r="F191">
        <v>26</v>
      </c>
      <c r="G191">
        <v>3.986612075571867</v>
      </c>
      <c r="H191">
        <v>26</v>
      </c>
    </row>
    <row r="192" spans="1:8" ht="15" thickBot="1" x14ac:dyDescent="0.35">
      <c r="A192" s="22" t="s">
        <v>60</v>
      </c>
      <c r="B192" s="23" t="s">
        <v>11</v>
      </c>
      <c r="C192">
        <v>4.1123382734345952</v>
      </c>
      <c r="F192">
        <v>27</v>
      </c>
      <c r="G192">
        <v>2.6411275483266827E-3</v>
      </c>
      <c r="H192">
        <v>1</v>
      </c>
    </row>
    <row r="193" spans="1:8" ht="15" thickBot="1" x14ac:dyDescent="0.35">
      <c r="A193" s="22" t="s">
        <v>11</v>
      </c>
      <c r="B193" s="23" t="s">
        <v>9</v>
      </c>
      <c r="C193">
        <v>4.4333228883170213</v>
      </c>
      <c r="F193">
        <v>28</v>
      </c>
      <c r="G193">
        <v>5.5940533873823139E-2</v>
      </c>
      <c r="H193">
        <v>3</v>
      </c>
    </row>
    <row r="194" spans="1:8" x14ac:dyDescent="0.3">
      <c r="B194" s="29" t="s">
        <v>90</v>
      </c>
      <c r="C194">
        <f>AVERAGE(C166:C193)</f>
        <v>1.0705871214893843</v>
      </c>
    </row>
    <row r="195" spans="1:8" x14ac:dyDescent="0.3">
      <c r="B195" s="29" t="s">
        <v>91</v>
      </c>
      <c r="C195">
        <f>STDEV(C166:C193)</f>
        <v>1.2767236641373036</v>
      </c>
    </row>
    <row r="196" spans="1:8" x14ac:dyDescent="0.3">
      <c r="B196" s="29" t="s">
        <v>92</v>
      </c>
      <c r="C196">
        <f>SUM(C166:C193)</f>
        <v>29.976439401702759</v>
      </c>
      <c r="D196">
        <f>(C191+C192+C193)/C196</f>
        <v>0.41807077449670721</v>
      </c>
    </row>
    <row r="199" spans="1:8" x14ac:dyDescent="0.3">
      <c r="A199">
        <v>2E-3</v>
      </c>
      <c r="E199">
        <v>0.02</v>
      </c>
    </row>
    <row r="200" spans="1:8" x14ac:dyDescent="0.3">
      <c r="A200" t="s">
        <v>10</v>
      </c>
      <c r="B200" t="s">
        <v>11</v>
      </c>
      <c r="C200">
        <v>0.11988124214005573</v>
      </c>
      <c r="E200" t="s">
        <v>14</v>
      </c>
      <c r="F200" t="s">
        <v>8</v>
      </c>
      <c r="G200">
        <v>2.6411275483266827E-3</v>
      </c>
    </row>
    <row r="201" spans="1:8" x14ac:dyDescent="0.3">
      <c r="A201" t="s">
        <v>10</v>
      </c>
      <c r="B201" t="s">
        <v>10</v>
      </c>
      <c r="C201">
        <v>0.125126359672879</v>
      </c>
      <c r="E201" t="s">
        <v>7</v>
      </c>
      <c r="F201" t="s">
        <v>14</v>
      </c>
      <c r="G201">
        <v>5.8612812997616559E-3</v>
      </c>
    </row>
    <row r="202" spans="1:8" x14ac:dyDescent="0.3">
      <c r="A202" t="s">
        <v>16</v>
      </c>
      <c r="B202" t="s">
        <v>5</v>
      </c>
      <c r="C202">
        <v>0.15229859322441763</v>
      </c>
      <c r="E202" t="s">
        <v>16</v>
      </c>
      <c r="F202" t="s">
        <v>5</v>
      </c>
      <c r="G202">
        <v>5.5940533873823139E-2</v>
      </c>
    </row>
    <row r="203" spans="1:8" x14ac:dyDescent="0.3">
      <c r="A203" t="s">
        <v>7</v>
      </c>
      <c r="B203" t="s">
        <v>9</v>
      </c>
      <c r="C203">
        <v>0.19835778492390715</v>
      </c>
      <c r="E203" t="s">
        <v>10</v>
      </c>
      <c r="F203" t="s">
        <v>7</v>
      </c>
      <c r="G203">
        <v>6.7961992149157435E-2</v>
      </c>
    </row>
    <row r="204" spans="1:8" x14ac:dyDescent="0.3">
      <c r="A204" t="s">
        <v>7</v>
      </c>
      <c r="B204" t="s">
        <v>61</v>
      </c>
      <c r="C204">
        <v>0.20302259054592572</v>
      </c>
      <c r="E204" t="s">
        <v>7</v>
      </c>
      <c r="F204" t="s">
        <v>61</v>
      </c>
      <c r="G204">
        <v>7.1706351119523115E-2</v>
      </c>
    </row>
    <row r="205" spans="1:8" x14ac:dyDescent="0.3">
      <c r="A205" t="s">
        <v>7</v>
      </c>
      <c r="B205" t="s">
        <v>14</v>
      </c>
      <c r="C205">
        <v>0.20487861070834276</v>
      </c>
      <c r="E205" t="s">
        <v>10</v>
      </c>
      <c r="F205" t="s">
        <v>11</v>
      </c>
      <c r="G205">
        <v>7.4262713780420458E-2</v>
      </c>
    </row>
    <row r="206" spans="1:8" x14ac:dyDescent="0.3">
      <c r="A206" t="s">
        <v>5</v>
      </c>
      <c r="B206" t="s">
        <v>6</v>
      </c>
      <c r="C206">
        <v>0.24130447646689945</v>
      </c>
      <c r="E206" t="s">
        <v>10</v>
      </c>
      <c r="F206" t="s">
        <v>10</v>
      </c>
      <c r="G206">
        <v>0.14719304300566183</v>
      </c>
    </row>
    <row r="207" spans="1:8" x14ac:dyDescent="0.3">
      <c r="A207" t="s">
        <v>14</v>
      </c>
      <c r="B207" t="s">
        <v>8</v>
      </c>
      <c r="C207">
        <v>0.28844049775042113</v>
      </c>
      <c r="E207" t="s">
        <v>7</v>
      </c>
      <c r="F207" t="s">
        <v>9</v>
      </c>
      <c r="G207">
        <v>0.16899838660580108</v>
      </c>
    </row>
    <row r="208" spans="1:8" x14ac:dyDescent="0.3">
      <c r="A208" t="s">
        <v>7</v>
      </c>
      <c r="B208" t="s">
        <v>12</v>
      </c>
      <c r="C208">
        <v>0.40224278367162924</v>
      </c>
      <c r="E208" t="s">
        <v>5</v>
      </c>
      <c r="F208" t="s">
        <v>6</v>
      </c>
      <c r="G208">
        <v>0.19510702158151583</v>
      </c>
    </row>
    <row r="209" spans="1:7" x14ac:dyDescent="0.3">
      <c r="A209" t="s">
        <v>10</v>
      </c>
      <c r="B209" t="s">
        <v>7</v>
      </c>
      <c r="C209">
        <v>0.43104898046935702</v>
      </c>
      <c r="E209" t="s">
        <v>7</v>
      </c>
      <c r="F209" t="s">
        <v>12</v>
      </c>
      <c r="G209">
        <v>0.26765485855971111</v>
      </c>
    </row>
    <row r="210" spans="1:7" x14ac:dyDescent="0.3">
      <c r="A210" t="s">
        <v>10</v>
      </c>
      <c r="B210" t="s">
        <v>15</v>
      </c>
      <c r="C210">
        <v>0.507893332943811</v>
      </c>
      <c r="E210" t="s">
        <v>11</v>
      </c>
      <c r="F210" t="s">
        <v>6</v>
      </c>
      <c r="G210">
        <v>0.30788481381646116</v>
      </c>
    </row>
    <row r="211" spans="1:7" x14ac:dyDescent="0.3">
      <c r="A211" t="s">
        <v>11</v>
      </c>
      <c r="B211" t="s">
        <v>6</v>
      </c>
      <c r="C211">
        <v>0.91405701947694151</v>
      </c>
      <c r="E211" t="s">
        <v>10</v>
      </c>
      <c r="F211" t="s">
        <v>15</v>
      </c>
      <c r="G211">
        <v>0.45496917019653749</v>
      </c>
    </row>
    <row r="212" spans="1:7" x14ac:dyDescent="0.3">
      <c r="A212" t="s">
        <v>61</v>
      </c>
      <c r="B212" t="s">
        <v>9</v>
      </c>
      <c r="C212">
        <v>0.92969285653445366</v>
      </c>
      <c r="E212" t="s">
        <v>12</v>
      </c>
      <c r="F212" t="s">
        <v>62</v>
      </c>
      <c r="G212">
        <v>0.56884077103945763</v>
      </c>
    </row>
    <row r="213" spans="1:7" x14ac:dyDescent="0.3">
      <c r="A213" t="s">
        <v>12</v>
      </c>
      <c r="B213" t="s">
        <v>62</v>
      </c>
      <c r="C213">
        <v>1.0570491593665179</v>
      </c>
      <c r="E213" t="s">
        <v>6</v>
      </c>
      <c r="F213" t="s">
        <v>14</v>
      </c>
      <c r="G213">
        <v>0.66388662697230716</v>
      </c>
    </row>
    <row r="214" spans="1:7" x14ac:dyDescent="0.3">
      <c r="A214" t="s">
        <v>11</v>
      </c>
      <c r="B214" t="s">
        <v>12</v>
      </c>
      <c r="C214">
        <v>1.1447118609768627</v>
      </c>
      <c r="E214" t="s">
        <v>11</v>
      </c>
      <c r="F214" t="s">
        <v>13</v>
      </c>
      <c r="G214">
        <v>0.66523509211515619</v>
      </c>
    </row>
    <row r="215" spans="1:7" x14ac:dyDescent="0.3">
      <c r="A215" t="s">
        <v>10</v>
      </c>
      <c r="B215" t="s">
        <v>9</v>
      </c>
      <c r="C215">
        <v>1.2041644580868787</v>
      </c>
      <c r="E215" t="s">
        <v>61</v>
      </c>
      <c r="F215" t="s">
        <v>12</v>
      </c>
      <c r="G215">
        <v>0.6797029699174566</v>
      </c>
    </row>
    <row r="216" spans="1:7" x14ac:dyDescent="0.3">
      <c r="A216" t="s">
        <v>13</v>
      </c>
      <c r="B216" t="s">
        <v>15</v>
      </c>
      <c r="C216">
        <v>1.2810578108970241</v>
      </c>
      <c r="E216" t="s">
        <v>10</v>
      </c>
      <c r="F216" t="s">
        <v>9</v>
      </c>
      <c r="G216">
        <v>0.89768299055075873</v>
      </c>
    </row>
    <row r="217" spans="1:7" x14ac:dyDescent="0.3">
      <c r="A217" t="s">
        <v>11</v>
      </c>
      <c r="B217" t="s">
        <v>13</v>
      </c>
      <c r="C217">
        <v>1.3059764481188942</v>
      </c>
      <c r="E217" t="s">
        <v>13</v>
      </c>
      <c r="F217" t="s">
        <v>14</v>
      </c>
      <c r="G217">
        <v>0.98971830529680682</v>
      </c>
    </row>
    <row r="218" spans="1:7" x14ac:dyDescent="0.3">
      <c r="A218" t="s">
        <v>6</v>
      </c>
      <c r="B218" t="s">
        <v>14</v>
      </c>
      <c r="C218">
        <v>1.6788785753056112</v>
      </c>
      <c r="E218" t="s">
        <v>11</v>
      </c>
      <c r="F218" t="s">
        <v>12</v>
      </c>
      <c r="G218">
        <v>1.0190356748953588</v>
      </c>
    </row>
    <row r="219" spans="1:7" x14ac:dyDescent="0.3">
      <c r="A219" t="s">
        <v>61</v>
      </c>
      <c r="B219" t="s">
        <v>12</v>
      </c>
      <c r="C219">
        <v>2.0815435151285087</v>
      </c>
      <c r="E219" t="s">
        <v>61</v>
      </c>
      <c r="F219" t="s">
        <v>9</v>
      </c>
      <c r="G219">
        <v>1.0927497310545324</v>
      </c>
    </row>
    <row r="220" spans="1:7" x14ac:dyDescent="0.3">
      <c r="A220" t="s">
        <v>11</v>
      </c>
      <c r="B220" t="s">
        <v>7</v>
      </c>
      <c r="C220">
        <v>2.1926251345904784</v>
      </c>
      <c r="E220" t="s">
        <v>11</v>
      </c>
      <c r="F220" t="s">
        <v>7</v>
      </c>
      <c r="G220">
        <v>1.2160510102337467</v>
      </c>
    </row>
    <row r="221" spans="1:7" x14ac:dyDescent="0.3">
      <c r="A221" t="s">
        <v>13</v>
      </c>
      <c r="B221" t="s">
        <v>9</v>
      </c>
      <c r="C221">
        <v>2.6603563517785327</v>
      </c>
      <c r="E221" t="s">
        <v>11</v>
      </c>
      <c r="F221" t="s">
        <v>14</v>
      </c>
      <c r="G221">
        <v>1.5546212432710238</v>
      </c>
    </row>
    <row r="222" spans="1:7" x14ac:dyDescent="0.3">
      <c r="A222" t="s">
        <v>11</v>
      </c>
      <c r="B222" t="s">
        <v>14</v>
      </c>
      <c r="C222">
        <v>2.8057114258740339</v>
      </c>
      <c r="E222" t="s">
        <v>13</v>
      </c>
      <c r="F222" t="s">
        <v>15</v>
      </c>
      <c r="G222">
        <v>1.6114039422033117</v>
      </c>
    </row>
    <row r="223" spans="1:7" x14ac:dyDescent="0.3">
      <c r="A223" t="s">
        <v>13</v>
      </c>
      <c r="B223" t="s">
        <v>14</v>
      </c>
      <c r="C223">
        <v>3.005876210300392</v>
      </c>
      <c r="E223" t="s">
        <v>13</v>
      </c>
      <c r="F223" t="s">
        <v>9</v>
      </c>
      <c r="G223">
        <v>2.1048229906247053</v>
      </c>
    </row>
    <row r="224" spans="1:7" x14ac:dyDescent="0.3">
      <c r="A224" t="s">
        <v>11</v>
      </c>
      <c r="B224" t="s">
        <v>15</v>
      </c>
      <c r="C224">
        <v>3.9310027163728263</v>
      </c>
      <c r="E224" t="s">
        <v>11</v>
      </c>
      <c r="F224" t="s">
        <v>15</v>
      </c>
      <c r="G224">
        <v>2.5602335226679531</v>
      </c>
    </row>
    <row r="225" spans="1:8" x14ac:dyDescent="0.3">
      <c r="A225" t="s">
        <v>60</v>
      </c>
      <c r="B225" t="s">
        <v>11</v>
      </c>
      <c r="C225">
        <v>6.6381770041336345</v>
      </c>
      <c r="E225" t="s">
        <v>62</v>
      </c>
      <c r="F225" t="s">
        <v>6</v>
      </c>
      <c r="G225">
        <v>3.986612075571867</v>
      </c>
    </row>
    <row r="226" spans="1:8" x14ac:dyDescent="0.3">
      <c r="A226" t="s">
        <v>62</v>
      </c>
      <c r="B226" t="s">
        <v>6</v>
      </c>
      <c r="C226">
        <v>6.9837170450799508</v>
      </c>
      <c r="E226" t="s">
        <v>60</v>
      </c>
      <c r="F226" t="s">
        <v>11</v>
      </c>
      <c r="G226">
        <v>4.1123382734345952</v>
      </c>
    </row>
    <row r="227" spans="1:8" x14ac:dyDescent="0.3">
      <c r="A227" t="s">
        <v>11</v>
      </c>
      <c r="B227" t="s">
        <v>9</v>
      </c>
      <c r="C227">
        <v>6.9895485471884875</v>
      </c>
      <c r="E227" t="s">
        <v>11</v>
      </c>
      <c r="F227" t="s">
        <v>9</v>
      </c>
      <c r="G227">
        <v>4.4333228883170213</v>
      </c>
    </row>
    <row r="228" spans="1:8" x14ac:dyDescent="0.3">
      <c r="B228" t="s">
        <v>90</v>
      </c>
      <c r="C228">
        <v>1.7742371925617024</v>
      </c>
      <c r="F228" t="s">
        <v>90</v>
      </c>
      <c r="G228">
        <v>1.0705871214893843</v>
      </c>
    </row>
    <row r="229" spans="1:8" x14ac:dyDescent="0.3">
      <c r="B229" t="s">
        <v>91</v>
      </c>
      <c r="C229">
        <v>2.0619429047145594</v>
      </c>
      <c r="F229" t="s">
        <v>91</v>
      </c>
      <c r="G229">
        <v>1.2767236641373036</v>
      </c>
    </row>
    <row r="230" spans="1:8" x14ac:dyDescent="0.3">
      <c r="B230" t="s">
        <v>92</v>
      </c>
      <c r="C230">
        <v>49.678641391727666</v>
      </c>
      <c r="D230">
        <v>0.41489545645735443</v>
      </c>
      <c r="F230" t="s">
        <v>92</v>
      </c>
      <c r="G230">
        <v>29.976439401702759</v>
      </c>
      <c r="H230">
        <v>0.41807077449670721</v>
      </c>
    </row>
  </sheetData>
  <sortState xmlns:xlrd2="http://schemas.microsoft.com/office/spreadsheetml/2017/richdata2" ref="A166:C193">
    <sortCondition ref="C166:C193"/>
  </sortState>
  <mergeCells count="13">
    <mergeCell ref="A85:Q85"/>
    <mergeCell ref="A1:Q1"/>
    <mergeCell ref="S1:AI1"/>
    <mergeCell ref="A20:Q20"/>
    <mergeCell ref="S20:AI20"/>
    <mergeCell ref="A39:Q39"/>
    <mergeCell ref="S39:AI39"/>
    <mergeCell ref="A80:L80"/>
    <mergeCell ref="S58:AD58"/>
    <mergeCell ref="S80:AD80"/>
    <mergeCell ref="A61:Q61"/>
    <mergeCell ref="S61:AI61"/>
    <mergeCell ref="A58:L58"/>
  </mergeCells>
  <conditionalFormatting sqref="B3:Q18">
    <cfRule type="cellIs" dxfId="10" priority="18" operator="lessThan">
      <formula>0</formula>
    </cfRule>
    <cfRule type="cellIs" dxfId="9" priority="19" operator="greaterThan">
      <formula>0</formula>
    </cfRule>
  </conditionalFormatting>
  <conditionalFormatting sqref="B22:Q37">
    <cfRule type="cellIs" dxfId="8" priority="16" operator="greaterThan">
      <formula>0</formula>
    </cfRule>
    <cfRule type="cellIs" dxfId="7" priority="17" operator="lessThan">
      <formula>0</formula>
    </cfRule>
  </conditionalFormatting>
  <conditionalFormatting sqref="T3:AI18">
    <cfRule type="cellIs" dxfId="6" priority="14" operator="lessThan">
      <formula>0</formula>
    </cfRule>
    <cfRule type="cellIs" dxfId="5" priority="15" operator="greaterThan">
      <formula>0</formula>
    </cfRule>
  </conditionalFormatting>
  <conditionalFormatting sqref="T22:AI37">
    <cfRule type="cellIs" dxfId="4" priority="12" operator="lessThan">
      <formula>0</formula>
    </cfRule>
  </conditionalFormatting>
  <conditionalFormatting sqref="T22:AJ37">
    <cfRule type="cellIs" dxfId="3" priority="13" operator="greaterThan">
      <formula>0</formula>
    </cfRule>
  </conditionalFormatting>
  <conditionalFormatting sqref="B87:Q101">
    <cfRule type="cellIs" dxfId="2" priority="4" operator="lessThan">
      <formula>0</formula>
    </cfRule>
  </conditionalFormatting>
  <conditionalFormatting sqref="B87:Q101">
    <cfRule type="cellIs" dxfId="1" priority="5" operator="greaterThan">
      <formula>0</formula>
    </cfRule>
  </conditionalFormatting>
  <conditionalFormatting sqref="C135:F162">
    <cfRule type="colorScale" priority="3">
      <colorScale>
        <cfvo type="min"/>
        <cfvo type="percentile" val="50"/>
        <cfvo type="max"/>
        <color theme="4"/>
        <color theme="0"/>
        <color rgb="FFFF0000"/>
      </colorScale>
    </cfRule>
  </conditionalFormatting>
  <conditionalFormatting sqref="I135:I162">
    <cfRule type="colorScale" priority="1">
      <colorScale>
        <cfvo type="min"/>
        <cfvo type="num" val="0"/>
        <cfvo type="max"/>
        <color theme="7"/>
        <color theme="0"/>
        <color rgb="FF00B050"/>
      </colorScale>
    </cfRule>
    <cfRule type="cellIs" dxfId="0" priority="2" operator="lessThan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1C8E-463B-43C7-8BE4-E5AB2005F27D}">
  <dimension ref="A1:Q90"/>
  <sheetViews>
    <sheetView topLeftCell="A3" zoomScale="82" workbookViewId="0">
      <selection activeCell="Q72" sqref="Q72"/>
    </sheetView>
  </sheetViews>
  <sheetFormatPr defaultRowHeight="14.4" x14ac:dyDescent="0.3"/>
  <cols>
    <col min="1" max="1" width="15.44140625" bestFit="1" customWidth="1"/>
    <col min="2" max="2" width="12.6640625" bestFit="1" customWidth="1"/>
    <col min="3" max="3" width="13.21875" bestFit="1" customWidth="1"/>
    <col min="4" max="4" width="15.109375" bestFit="1" customWidth="1"/>
    <col min="5" max="5" width="16.109375" bestFit="1" customWidth="1"/>
    <col min="6" max="7" width="12.6640625" bestFit="1" customWidth="1"/>
    <col min="8" max="8" width="12" bestFit="1" customWidth="1"/>
    <col min="10" max="15" width="12.6640625" bestFit="1" customWidth="1"/>
  </cols>
  <sheetData>
    <row r="1" spans="1:15" x14ac:dyDescent="0.3">
      <c r="A1" s="10" t="s">
        <v>42</v>
      </c>
      <c r="B1" s="10"/>
      <c r="C1" s="10"/>
      <c r="D1" s="10"/>
      <c r="E1" s="10"/>
      <c r="F1" s="10"/>
    </row>
    <row r="2" spans="1:15" x14ac:dyDescent="0.3">
      <c r="A2" s="10"/>
      <c r="B2" s="10" t="s">
        <v>1</v>
      </c>
      <c r="C2" s="11" t="s">
        <v>2</v>
      </c>
      <c r="D2" s="10" t="s">
        <v>3</v>
      </c>
      <c r="E2" s="11" t="s">
        <v>4</v>
      </c>
      <c r="F2" s="10" t="s">
        <v>36</v>
      </c>
      <c r="G2" t="s">
        <v>58</v>
      </c>
      <c r="H2" t="s">
        <v>37</v>
      </c>
    </row>
    <row r="3" spans="1:15" x14ac:dyDescent="0.3">
      <c r="A3" s="10" t="s">
        <v>43</v>
      </c>
      <c r="B3" s="10">
        <v>0.71096405953563768</v>
      </c>
      <c r="C3" s="11">
        <v>0.7002725937827593</v>
      </c>
      <c r="D3" s="10">
        <v>0.70220479958634974</v>
      </c>
      <c r="E3" s="11">
        <v>0.69184114027922727</v>
      </c>
      <c r="F3" s="10">
        <f>AVERAGE(B3:E3)</f>
        <v>0.7013206482959935</v>
      </c>
      <c r="G3">
        <f>STDEV(B3:E3)</f>
        <v>7.8472201945185682E-3</v>
      </c>
      <c r="H3">
        <f>MEDIAN(B3:E3)</f>
        <v>0.70123869668455452</v>
      </c>
    </row>
    <row r="4" spans="1:15" x14ac:dyDescent="0.3">
      <c r="A4" s="10" t="s">
        <v>44</v>
      </c>
      <c r="B4" s="10">
        <v>0.9672457952796315</v>
      </c>
      <c r="C4" s="11">
        <v>2.5065205502097148</v>
      </c>
      <c r="D4" s="10">
        <v>0.88889897990324152</v>
      </c>
      <c r="E4" s="11">
        <v>2.3442600263761584</v>
      </c>
      <c r="F4" s="10">
        <f t="shared" ref="F4:F6" si="0">AVERAGE(B4:E4)</f>
        <v>1.6767313379421867</v>
      </c>
      <c r="G4">
        <f t="shared" ref="G4:G6" si="1">STDEV(B4:E4)</f>
        <v>0.86760095402942916</v>
      </c>
      <c r="H4">
        <f>MEDIAN(B4:E4)</f>
        <v>1.655752910827895</v>
      </c>
    </row>
    <row r="5" spans="1:15" x14ac:dyDescent="0.3">
      <c r="A5" s="10" t="s">
        <v>45</v>
      </c>
      <c r="B5" s="10">
        <v>0.49728852687609254</v>
      </c>
      <c r="C5" s="11">
        <v>0.49728852687609254</v>
      </c>
      <c r="D5" s="10">
        <v>0.48503730726032496</v>
      </c>
      <c r="E5" s="11">
        <v>0.48503730726032496</v>
      </c>
      <c r="F5" s="10">
        <f t="shared" si="0"/>
        <v>0.49116291706820875</v>
      </c>
      <c r="G5">
        <f t="shared" si="1"/>
        <v>7.0732449430646379E-3</v>
      </c>
      <c r="H5">
        <f>MEDIAN(B5:E5)</f>
        <v>0.49116291706820875</v>
      </c>
    </row>
    <row r="6" spans="1:15" x14ac:dyDescent="0.3">
      <c r="A6" s="10" t="s">
        <v>46</v>
      </c>
      <c r="B6" s="10">
        <v>30248</v>
      </c>
      <c r="C6" s="11">
        <v>111242</v>
      </c>
      <c r="D6" s="10">
        <v>27897</v>
      </c>
      <c r="E6" s="11">
        <v>57971</v>
      </c>
      <c r="F6" s="10">
        <f t="shared" si="0"/>
        <v>56839.5</v>
      </c>
      <c r="G6">
        <f t="shared" si="1"/>
        <v>38754.305038279294</v>
      </c>
      <c r="H6">
        <f>MEDIAN(B6:E6)</f>
        <v>44109.5</v>
      </c>
    </row>
    <row r="8" spans="1:15" x14ac:dyDescent="0.3">
      <c r="A8" s="18" t="s">
        <v>54</v>
      </c>
      <c r="B8" s="19"/>
      <c r="C8" s="19"/>
      <c r="D8" s="19"/>
      <c r="E8" s="19"/>
      <c r="F8" s="19"/>
      <c r="G8" s="19"/>
      <c r="I8" s="18" t="s">
        <v>55</v>
      </c>
      <c r="J8" s="19"/>
      <c r="K8" s="19"/>
      <c r="L8" s="19"/>
      <c r="M8" s="19"/>
      <c r="N8" s="19"/>
      <c r="O8" s="19"/>
    </row>
    <row r="9" spans="1:15" ht="15.6" x14ac:dyDescent="0.3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I9" s="5" t="s">
        <v>47</v>
      </c>
      <c r="J9" s="5" t="s">
        <v>48</v>
      </c>
      <c r="K9" s="5" t="s">
        <v>49</v>
      </c>
      <c r="L9" s="5" t="s">
        <v>50</v>
      </c>
      <c r="M9" s="5" t="s">
        <v>51</v>
      </c>
      <c r="N9" s="5" t="s">
        <v>52</v>
      </c>
      <c r="O9" s="5" t="s">
        <v>53</v>
      </c>
    </row>
    <row r="10" spans="1:15" ht="15.6" x14ac:dyDescent="0.3">
      <c r="A10" s="5" t="s">
        <v>5</v>
      </c>
      <c r="B10" s="5">
        <v>0.44617196058545733</v>
      </c>
      <c r="C10" s="5">
        <v>0.10595880689319032</v>
      </c>
      <c r="D10" s="5">
        <v>1.300914845216979</v>
      </c>
      <c r="E10" s="5">
        <v>0.15198159376787015</v>
      </c>
      <c r="F10" s="5">
        <v>0.21500774394286579</v>
      </c>
      <c r="G10" s="5">
        <v>0.84713750786266395</v>
      </c>
      <c r="I10" s="5" t="s">
        <v>5</v>
      </c>
      <c r="J10" s="5">
        <v>0.44821950035450842</v>
      </c>
      <c r="K10" s="5">
        <v>0.10453955721213073</v>
      </c>
      <c r="L10" s="5">
        <v>1.3073040490411401</v>
      </c>
      <c r="M10" s="5">
        <v>0.14464889154377095</v>
      </c>
      <c r="N10" s="5">
        <v>0.20967263875310294</v>
      </c>
      <c r="O10" s="5">
        <v>0.84664516528941736</v>
      </c>
    </row>
    <row r="11" spans="1:15" ht="15.6" x14ac:dyDescent="0.3">
      <c r="A11" s="5" t="s">
        <v>6</v>
      </c>
      <c r="B11" s="5">
        <v>0.37837477387109197</v>
      </c>
      <c r="C11" s="5">
        <v>0.49999940123142489</v>
      </c>
      <c r="D11" s="5">
        <v>0.55396407697911976</v>
      </c>
      <c r="E11" s="5">
        <v>0.35359598329583508</v>
      </c>
      <c r="F11" s="5">
        <v>1.0782904038464507</v>
      </c>
      <c r="G11" s="5">
        <v>1.3488430595938097</v>
      </c>
      <c r="I11" s="5" t="s">
        <v>6</v>
      </c>
      <c r="J11" s="5">
        <v>0.30383339931329462</v>
      </c>
      <c r="K11" s="5">
        <v>0.3476822655420671</v>
      </c>
      <c r="L11" s="5">
        <v>0.59157667640487699</v>
      </c>
      <c r="M11" s="5">
        <v>0.34693388488192101</v>
      </c>
      <c r="N11" s="5">
        <v>1.0192370193847962</v>
      </c>
      <c r="O11" s="5">
        <v>1.1950947740983642</v>
      </c>
    </row>
    <row r="12" spans="1:15" ht="15.6" x14ac:dyDescent="0.3">
      <c r="A12" s="5" t="s">
        <v>7</v>
      </c>
      <c r="B12" s="5">
        <v>0.82043870514349149</v>
      </c>
      <c r="C12" s="5">
        <v>0.15680217800000001</v>
      </c>
      <c r="D12" s="5">
        <v>0.87406524953765252</v>
      </c>
      <c r="E12" s="5">
        <v>1.1015801106130401</v>
      </c>
      <c r="F12" s="5">
        <v>0.75829142372296177</v>
      </c>
      <c r="G12" s="5">
        <v>0.73405005841935311</v>
      </c>
      <c r="I12" s="5" t="s">
        <v>7</v>
      </c>
      <c r="J12" s="5">
        <v>0.81476763856349244</v>
      </c>
      <c r="K12" s="5">
        <v>0.15680217800000001</v>
      </c>
      <c r="L12" s="5">
        <v>0.86598298133214735</v>
      </c>
      <c r="M12" s="5">
        <v>1.0797571489809172</v>
      </c>
      <c r="N12" s="5">
        <v>0.7627926414518541</v>
      </c>
      <c r="O12" s="5">
        <v>0.73276794761460351</v>
      </c>
    </row>
    <row r="13" spans="1:15" ht="15.6" x14ac:dyDescent="0.3">
      <c r="A13" s="5" t="s">
        <v>60</v>
      </c>
      <c r="B13" s="5">
        <v>0.56586564597755917</v>
      </c>
      <c r="C13" s="5">
        <v>0.98016501220232011</v>
      </c>
      <c r="D13" s="5">
        <v>0.82553106296062251</v>
      </c>
      <c r="E13" s="5">
        <v>0.81356072860297035</v>
      </c>
      <c r="F13" s="5">
        <v>0.53873698493141686</v>
      </c>
      <c r="G13" s="5">
        <v>0.21353136427052366</v>
      </c>
      <c r="I13" s="5" t="s">
        <v>60</v>
      </c>
      <c r="J13" s="5">
        <v>0.496743978205472</v>
      </c>
      <c r="K13" s="5">
        <v>0.88153555380478588</v>
      </c>
      <c r="L13" s="5">
        <v>0.84401123112101428</v>
      </c>
      <c r="M13" s="5">
        <v>0.9102555475909232</v>
      </c>
      <c r="N13" s="5">
        <v>0.49383740527541375</v>
      </c>
      <c r="O13" s="5">
        <v>0.23522757923155027</v>
      </c>
    </row>
    <row r="14" spans="1:15" ht="15.6" x14ac:dyDescent="0.3">
      <c r="A14" s="5" t="s">
        <v>8</v>
      </c>
      <c r="B14" s="5">
        <v>0.49075636775655784</v>
      </c>
      <c r="C14" s="5">
        <v>0.21518294963580262</v>
      </c>
      <c r="D14" s="5">
        <v>0.35326105333333335</v>
      </c>
      <c r="E14" s="5">
        <v>0.19113299728054736</v>
      </c>
      <c r="F14" s="5">
        <v>0.26998514713526722</v>
      </c>
      <c r="G14" s="5">
        <v>0.16247865805076048</v>
      </c>
      <c r="I14" s="5" t="s">
        <v>8</v>
      </c>
      <c r="J14" s="5">
        <v>0.46363237819556963</v>
      </c>
      <c r="K14" s="5">
        <v>0.19763382888609723</v>
      </c>
      <c r="L14" s="5">
        <v>0.35326105333333335</v>
      </c>
      <c r="M14" s="5">
        <v>0.20112918736838128</v>
      </c>
      <c r="N14" s="5">
        <v>0.23197026438778079</v>
      </c>
      <c r="O14" s="5">
        <v>0.18394578671228082</v>
      </c>
    </row>
    <row r="15" spans="1:15" ht="15.6" x14ac:dyDescent="0.3">
      <c r="A15" s="5" t="s">
        <v>9</v>
      </c>
      <c r="B15" s="5">
        <v>2.0207888108612044</v>
      </c>
      <c r="C15" s="5">
        <v>1.1807255232459151</v>
      </c>
      <c r="D15" s="5">
        <v>1.6792672658312078</v>
      </c>
      <c r="E15" s="5">
        <v>0.4916199175</v>
      </c>
      <c r="F15" s="5">
        <v>1.4748543410371298</v>
      </c>
      <c r="G15" s="5">
        <v>0.72698072526520818</v>
      </c>
      <c r="I15" s="5" t="s">
        <v>9</v>
      </c>
      <c r="J15" s="5">
        <v>2.0891140996045343</v>
      </c>
      <c r="K15" s="5">
        <v>1.1696030593183884</v>
      </c>
      <c r="L15" s="5">
        <v>1.4521420118240966</v>
      </c>
      <c r="M15" s="5">
        <v>0.4916199175</v>
      </c>
      <c r="N15" s="5">
        <v>1.4929295494056012</v>
      </c>
      <c r="O15" s="5">
        <v>0.60396770705127123</v>
      </c>
    </row>
    <row r="16" spans="1:15" ht="15.6" x14ac:dyDescent="0.3">
      <c r="A16" s="5" t="s">
        <v>10</v>
      </c>
      <c r="B16" s="5">
        <v>0.61611729515752145</v>
      </c>
      <c r="C16" s="5">
        <v>0.64759088326943304</v>
      </c>
      <c r="D16" s="5">
        <v>0.30310502942285716</v>
      </c>
      <c r="E16" s="5">
        <v>2.8766203158637218</v>
      </c>
      <c r="F16" s="5">
        <v>0.5935956166666666</v>
      </c>
      <c r="G16" s="5">
        <v>0.51281645007532706</v>
      </c>
      <c r="I16" s="5" t="s">
        <v>10</v>
      </c>
      <c r="J16" s="5">
        <v>0.62288527470313015</v>
      </c>
      <c r="K16" s="5">
        <v>0.62719749586013063</v>
      </c>
      <c r="L16" s="5">
        <v>0.30727943854724182</v>
      </c>
      <c r="M16" s="5">
        <v>2.8740814720983052</v>
      </c>
      <c r="N16" s="5">
        <v>0.5935956166666666</v>
      </c>
      <c r="O16" s="5">
        <v>0.53225609893493531</v>
      </c>
    </row>
    <row r="17" spans="1:15" ht="15.6" x14ac:dyDescent="0.3">
      <c r="A17" s="5" t="s">
        <v>11</v>
      </c>
      <c r="B17" s="5">
        <v>0.52138002736183575</v>
      </c>
      <c r="C17" s="5">
        <v>0.38380277100312293</v>
      </c>
      <c r="D17" s="5">
        <v>0.83701582083006498</v>
      </c>
      <c r="E17" s="5">
        <v>0.23622301782620395</v>
      </c>
      <c r="F17" s="5">
        <v>0.45158284779461383</v>
      </c>
      <c r="G17" s="5">
        <v>0.27929751359578531</v>
      </c>
      <c r="I17" s="5" t="s">
        <v>11</v>
      </c>
      <c r="J17" s="5">
        <v>0.52357213083414877</v>
      </c>
      <c r="K17" s="5">
        <v>0.37797708504612088</v>
      </c>
      <c r="L17" s="5">
        <v>0.85201545295814329</v>
      </c>
      <c r="M17" s="5">
        <v>0.24579469097694087</v>
      </c>
      <c r="N17" s="5">
        <v>0.4670414193755818</v>
      </c>
      <c r="O17" s="5">
        <v>0.28712472417462059</v>
      </c>
    </row>
    <row r="18" spans="1:15" ht="15.6" x14ac:dyDescent="0.3">
      <c r="A18" s="5" t="s">
        <v>12</v>
      </c>
      <c r="B18" s="5">
        <v>0.98694991515134867</v>
      </c>
      <c r="C18" s="5">
        <v>0.27741585907103278</v>
      </c>
      <c r="D18" s="5">
        <v>0.94240658551472001</v>
      </c>
      <c r="E18" s="5">
        <v>0.19310884127012243</v>
      </c>
      <c r="F18" s="5">
        <v>1.2015684904962725</v>
      </c>
      <c r="G18" s="5">
        <v>0.29863631758900439</v>
      </c>
      <c r="I18" s="5" t="s">
        <v>12</v>
      </c>
      <c r="J18" s="5">
        <v>0.99084020762741021</v>
      </c>
      <c r="K18" s="5">
        <v>0.26542040306484621</v>
      </c>
      <c r="L18" s="5">
        <v>0.97833440952205442</v>
      </c>
      <c r="M18" s="5">
        <v>0.17509816025136279</v>
      </c>
      <c r="N18" s="5">
        <v>1.1889016512117443</v>
      </c>
      <c r="O18" s="5">
        <v>0.30806343400115482</v>
      </c>
    </row>
    <row r="19" spans="1:15" ht="15.6" x14ac:dyDescent="0.3">
      <c r="A19" s="5" t="s">
        <v>61</v>
      </c>
      <c r="B19" s="5">
        <v>1.8226356551110343</v>
      </c>
      <c r="C19" s="5">
        <v>0.87303034648900368</v>
      </c>
      <c r="D19" s="5">
        <v>0.38599201265916966</v>
      </c>
      <c r="E19" s="5">
        <v>0.19740822040156394</v>
      </c>
      <c r="F19" s="5">
        <v>0.56285456334889494</v>
      </c>
      <c r="G19" s="5">
        <v>1.3217473167866827</v>
      </c>
      <c r="I19" s="5" t="s">
        <v>61</v>
      </c>
      <c r="J19" s="5">
        <v>1.7384488542120553</v>
      </c>
      <c r="K19" s="5">
        <v>0.88916357281548153</v>
      </c>
      <c r="L19" s="5">
        <v>0.44876098534178033</v>
      </c>
      <c r="M19" s="5">
        <v>0.21426087115994086</v>
      </c>
      <c r="N19" s="5">
        <v>0.60226668701097397</v>
      </c>
      <c r="O19" s="5">
        <v>1.3403743960034484</v>
      </c>
    </row>
    <row r="20" spans="1:15" ht="15.6" x14ac:dyDescent="0.3">
      <c r="A20" s="5" t="s">
        <v>13</v>
      </c>
      <c r="B20" s="5">
        <v>0.29399783961250525</v>
      </c>
      <c r="C20" s="5">
        <v>0.72290732049275441</v>
      </c>
      <c r="D20" s="5">
        <v>0.46258375376689626</v>
      </c>
      <c r="E20" s="5">
        <v>0.24654445843066863</v>
      </c>
      <c r="F20" s="5">
        <v>0.23685236117630915</v>
      </c>
      <c r="G20" s="5">
        <v>0.25349839719124617</v>
      </c>
      <c r="I20" s="5" t="s">
        <v>13</v>
      </c>
      <c r="J20" s="5">
        <v>0.29393853145391835</v>
      </c>
      <c r="K20" s="5">
        <v>0.71704023203568046</v>
      </c>
      <c r="L20" s="5">
        <v>0.46023442355764793</v>
      </c>
      <c r="M20" s="5">
        <v>0.23872401340894636</v>
      </c>
      <c r="N20" s="5">
        <v>0.227266624369343</v>
      </c>
      <c r="O20" s="5">
        <v>0.2501925336015679</v>
      </c>
    </row>
    <row r="21" spans="1:15" ht="15.6" x14ac:dyDescent="0.3">
      <c r="A21" s="5" t="s">
        <v>62</v>
      </c>
      <c r="B21" s="5">
        <v>0.47222633120952334</v>
      </c>
      <c r="C21" s="5">
        <v>0.4728949941254153</v>
      </c>
      <c r="D21" s="5">
        <v>0.30162799828283388</v>
      </c>
      <c r="E21" s="5">
        <v>0.49297752982460458</v>
      </c>
      <c r="F21" s="5">
        <v>0.2791064379570955</v>
      </c>
      <c r="G21" s="5">
        <v>0.33906009631443434</v>
      </c>
      <c r="I21" s="5" t="s">
        <v>62</v>
      </c>
      <c r="J21" s="5">
        <v>0.48911298382853807</v>
      </c>
      <c r="K21" s="5">
        <v>0.39544111062494564</v>
      </c>
      <c r="L21" s="5">
        <v>0.30247432470647212</v>
      </c>
      <c r="M21" s="5">
        <v>0.51759207642686944</v>
      </c>
      <c r="N21" s="5">
        <v>0.26294641314434786</v>
      </c>
      <c r="O21" s="5">
        <v>0.33712369990286994</v>
      </c>
    </row>
    <row r="22" spans="1:15" ht="15.6" x14ac:dyDescent="0.3">
      <c r="A22" s="5" t="s">
        <v>14</v>
      </c>
      <c r="B22" s="5">
        <v>0.79391214223192419</v>
      </c>
      <c r="C22" s="5">
        <v>0.62891204241977594</v>
      </c>
      <c r="D22" s="5">
        <v>0.88722357783934391</v>
      </c>
      <c r="E22" s="5">
        <v>0.30007564191394337</v>
      </c>
      <c r="F22" s="5">
        <v>0.27416425940192679</v>
      </c>
      <c r="G22" s="5">
        <v>0.4928683734547204</v>
      </c>
      <c r="I22" s="5" t="s">
        <v>14</v>
      </c>
      <c r="J22" s="5">
        <v>0.74959469723755512</v>
      </c>
      <c r="K22" s="5">
        <v>0.66695755235124243</v>
      </c>
      <c r="L22" s="5">
        <v>0.93853873038329372</v>
      </c>
      <c r="M22" s="5">
        <v>0.27939393402553075</v>
      </c>
      <c r="N22" s="5">
        <v>0.28204683918293416</v>
      </c>
      <c r="O22" s="5">
        <v>0.41332304292489663</v>
      </c>
    </row>
    <row r="23" spans="1:15" ht="15.6" x14ac:dyDescent="0.3">
      <c r="A23" s="5" t="s">
        <v>15</v>
      </c>
      <c r="B23" s="5">
        <v>0.39785289817080993</v>
      </c>
      <c r="C23" s="5">
        <v>0.73361399063110111</v>
      </c>
      <c r="D23" s="5">
        <v>1.492215386841462</v>
      </c>
      <c r="E23" s="5">
        <v>0.72759843727042861</v>
      </c>
      <c r="F23" s="5">
        <v>0.666750454444625</v>
      </c>
      <c r="G23" s="5">
        <v>0.51313155451791237</v>
      </c>
      <c r="I23" s="5" t="s">
        <v>15</v>
      </c>
      <c r="J23" s="5">
        <v>0.40018851655897003</v>
      </c>
      <c r="K23" s="5">
        <v>0.72541950240098829</v>
      </c>
      <c r="L23" s="5">
        <v>1.5149764431336492</v>
      </c>
      <c r="M23" s="5">
        <v>0.68560642333727151</v>
      </c>
      <c r="N23" s="5">
        <v>0.66794410301224483</v>
      </c>
      <c r="O23" s="5">
        <v>0.48407346468585438</v>
      </c>
    </row>
    <row r="24" spans="1:15" ht="15.6" x14ac:dyDescent="0.3">
      <c r="A24" s="5" t="s">
        <v>16</v>
      </c>
      <c r="B24" s="5">
        <v>2.055133925624276</v>
      </c>
      <c r="C24" s="5">
        <v>0.67677449446293803</v>
      </c>
      <c r="D24" s="5">
        <v>1.4180587958846089</v>
      </c>
      <c r="E24" s="5">
        <v>1.2148023698903148</v>
      </c>
      <c r="F24" s="5">
        <v>0.45570390322906379</v>
      </c>
      <c r="G24" s="12">
        <v>3.6735732840000006</v>
      </c>
      <c r="I24" s="5" t="s">
        <v>16</v>
      </c>
      <c r="J24" s="5">
        <v>2.0692291256620292</v>
      </c>
      <c r="K24" s="5">
        <v>0.68080273792063295</v>
      </c>
      <c r="L24" s="5">
        <v>1.4108014917195009</v>
      </c>
      <c r="M24" s="5">
        <v>1.2066649400520408</v>
      </c>
      <c r="N24" s="5">
        <v>0.44972330215690559</v>
      </c>
      <c r="O24" s="12">
        <v>3.6735732840000006</v>
      </c>
    </row>
    <row r="25" spans="1:15" x14ac:dyDescent="0.3">
      <c r="A25" s="2"/>
      <c r="B25" s="2"/>
      <c r="C25" s="2"/>
      <c r="D25" s="2"/>
      <c r="E25" s="2"/>
      <c r="F25" s="2"/>
      <c r="G25" s="2"/>
    </row>
    <row r="27" spans="1:15" x14ac:dyDescent="0.3">
      <c r="A27" s="18" t="s">
        <v>56</v>
      </c>
      <c r="B27" s="19"/>
      <c r="C27" s="19"/>
      <c r="D27" s="19"/>
      <c r="E27" s="19"/>
      <c r="F27" s="19"/>
      <c r="G27" s="19"/>
      <c r="I27" s="18" t="s">
        <v>57</v>
      </c>
      <c r="J27" s="19"/>
      <c r="K27" s="19"/>
      <c r="L27" s="19"/>
      <c r="M27" s="19"/>
      <c r="N27" s="19"/>
      <c r="O27" s="19"/>
    </row>
    <row r="28" spans="1:15" ht="15.6" x14ac:dyDescent="0.3">
      <c r="A28" s="5" t="s">
        <v>47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52</v>
      </c>
      <c r="G28" s="5" t="s">
        <v>53</v>
      </c>
      <c r="I28" s="5" t="s">
        <v>47</v>
      </c>
      <c r="J28" s="5" t="s">
        <v>48</v>
      </c>
      <c r="K28" s="5" t="s">
        <v>49</v>
      </c>
      <c r="L28" s="5" t="s">
        <v>50</v>
      </c>
      <c r="M28" s="5" t="s">
        <v>51</v>
      </c>
      <c r="N28" s="5" t="s">
        <v>52</v>
      </c>
      <c r="O28" s="5" t="s">
        <v>53</v>
      </c>
    </row>
    <row r="29" spans="1:15" ht="15.6" x14ac:dyDescent="0.3">
      <c r="A29" s="5" t="s">
        <v>5</v>
      </c>
      <c r="B29" s="5">
        <v>0.41233558878976295</v>
      </c>
      <c r="C29" s="5">
        <v>9.6402552402755096E-2</v>
      </c>
      <c r="D29" s="5">
        <v>1.30173408068659</v>
      </c>
      <c r="E29" s="5">
        <v>0.1496518634558904</v>
      </c>
      <c r="F29" s="5">
        <v>0.21311376195645418</v>
      </c>
      <c r="G29" s="5">
        <v>0.84693870128466509</v>
      </c>
      <c r="I29" s="5" t="s">
        <v>5</v>
      </c>
      <c r="J29" s="5">
        <v>0.4134975018839695</v>
      </c>
      <c r="K29" s="5">
        <v>9.6074703179143364E-2</v>
      </c>
      <c r="L29" s="5">
        <v>1.3069359142060135</v>
      </c>
      <c r="M29" s="5">
        <v>0.14530619665877484</v>
      </c>
      <c r="N29" s="5">
        <v>0.21017962659585757</v>
      </c>
      <c r="O29" s="5">
        <v>0.84696262742432937</v>
      </c>
    </row>
    <row r="30" spans="1:15" ht="15.6" x14ac:dyDescent="0.3">
      <c r="A30" s="5" t="s">
        <v>6</v>
      </c>
      <c r="B30" s="5">
        <v>0.29209596337154892</v>
      </c>
      <c r="C30" s="5">
        <v>0.47394171036531046</v>
      </c>
      <c r="D30" s="5">
        <v>0.59354456678362821</v>
      </c>
      <c r="E30" s="5">
        <v>0.30819514946022414</v>
      </c>
      <c r="F30" s="5">
        <v>1.1432171515860008</v>
      </c>
      <c r="G30" s="5">
        <v>1.2420297692382902</v>
      </c>
      <c r="I30" s="5" t="s">
        <v>6</v>
      </c>
      <c r="J30" s="5">
        <v>0.25376344930252326</v>
      </c>
      <c r="K30" s="5">
        <v>0.30254454467243058</v>
      </c>
      <c r="L30" s="5">
        <v>0.63449621752379559</v>
      </c>
      <c r="M30" s="5">
        <v>0.31577256461831527</v>
      </c>
      <c r="N30" s="5">
        <v>1.1933111764378639</v>
      </c>
      <c r="O30" s="5">
        <v>1.1955914936132817</v>
      </c>
    </row>
    <row r="31" spans="1:15" ht="15.6" x14ac:dyDescent="0.3">
      <c r="A31" s="5" t="s">
        <v>7</v>
      </c>
      <c r="B31" s="5">
        <v>0.87420338770614481</v>
      </c>
      <c r="C31" s="5">
        <v>0.14496421249999999</v>
      </c>
      <c r="D31" s="5">
        <v>0.88122377840221711</v>
      </c>
      <c r="E31" s="5">
        <v>1.1993313646484449</v>
      </c>
      <c r="F31" s="5">
        <v>0.77036589092519592</v>
      </c>
      <c r="G31" s="5">
        <v>0.70091207405238209</v>
      </c>
      <c r="I31" s="5" t="s">
        <v>7</v>
      </c>
      <c r="J31" s="5">
        <v>0.8290940310146302</v>
      </c>
      <c r="K31" s="5">
        <v>0.14496421249999999</v>
      </c>
      <c r="L31" s="5">
        <v>0.86782864286330064</v>
      </c>
      <c r="M31" s="5">
        <v>1.0942796616723982</v>
      </c>
      <c r="N31" s="5">
        <v>0.76943249047448792</v>
      </c>
      <c r="O31" s="5">
        <v>0.67772797190769796</v>
      </c>
    </row>
    <row r="32" spans="1:15" ht="15.6" x14ac:dyDescent="0.3">
      <c r="A32" s="5" t="s">
        <v>60</v>
      </c>
      <c r="B32" s="5">
        <v>0.60177990925026381</v>
      </c>
      <c r="C32" s="5">
        <v>1.0293232924932829</v>
      </c>
      <c r="D32" s="5">
        <v>0.75340234360922576</v>
      </c>
      <c r="E32" s="5">
        <v>0.77461670929690796</v>
      </c>
      <c r="F32" s="5">
        <v>0.5637777032979373</v>
      </c>
      <c r="G32" s="5">
        <v>0.20845417400292554</v>
      </c>
      <c r="I32" s="5" t="s">
        <v>60</v>
      </c>
      <c r="J32" s="5">
        <v>0.5128009632937961</v>
      </c>
      <c r="K32" s="5">
        <v>0.90504865457148609</v>
      </c>
      <c r="L32" s="5">
        <v>0.76892108614446375</v>
      </c>
      <c r="M32" s="5">
        <v>0.88454194594427038</v>
      </c>
      <c r="N32" s="5">
        <v>0.50377467306709522</v>
      </c>
      <c r="O32" s="5">
        <v>0.22840439112223773</v>
      </c>
    </row>
    <row r="33" spans="1:15" ht="15.6" x14ac:dyDescent="0.3">
      <c r="A33" s="5" t="s">
        <v>8</v>
      </c>
      <c r="B33" s="5">
        <v>0.50168257110631775</v>
      </c>
      <c r="C33" s="5">
        <v>0.21445341890935796</v>
      </c>
      <c r="D33" s="5">
        <v>0.35326105333333335</v>
      </c>
      <c r="E33" s="5">
        <v>0.1864597063874214</v>
      </c>
      <c r="F33" s="5">
        <v>0.27269300121360418</v>
      </c>
      <c r="G33" s="5">
        <v>0.15248209216219491</v>
      </c>
      <c r="I33" s="5" t="s">
        <v>8</v>
      </c>
      <c r="J33" s="5">
        <v>0.4743783164705917</v>
      </c>
      <c r="K33" s="5">
        <v>0.20144876575882134</v>
      </c>
      <c r="L33" s="5">
        <v>0.35326105333333335</v>
      </c>
      <c r="M33" s="5">
        <v>0.18671117859105868</v>
      </c>
      <c r="N33" s="5">
        <v>0.23704859533662589</v>
      </c>
      <c r="O33" s="5">
        <v>0.17214795807764857</v>
      </c>
    </row>
    <row r="34" spans="1:15" ht="15.6" x14ac:dyDescent="0.3">
      <c r="A34" s="5" t="s">
        <v>9</v>
      </c>
      <c r="B34" s="5">
        <v>2.071109919656664</v>
      </c>
      <c r="C34" s="5">
        <v>1.1694022292170896</v>
      </c>
      <c r="D34" s="5">
        <v>1.4939835454837047</v>
      </c>
      <c r="E34" s="5">
        <v>0.4916199175</v>
      </c>
      <c r="F34" s="5">
        <v>1.4062091876456251</v>
      </c>
      <c r="G34" s="5">
        <v>0.64117913051831044</v>
      </c>
      <c r="I34" s="5" t="s">
        <v>9</v>
      </c>
      <c r="J34" s="5">
        <v>2.1502445677097972</v>
      </c>
      <c r="K34" s="5">
        <v>1.1611313613568219</v>
      </c>
      <c r="L34" s="5">
        <v>1.3442695668656259</v>
      </c>
      <c r="M34" s="5">
        <v>0.4916199175</v>
      </c>
      <c r="N34" s="5">
        <v>1.4215265519161038</v>
      </c>
      <c r="O34" s="5">
        <v>0.56067078833843909</v>
      </c>
    </row>
    <row r="35" spans="1:15" ht="15.6" x14ac:dyDescent="0.3">
      <c r="A35" s="5" t="s">
        <v>10</v>
      </c>
      <c r="B35" s="5">
        <v>0.61455622342392635</v>
      </c>
      <c r="C35" s="5">
        <v>0.70058937871311899</v>
      </c>
      <c r="D35" s="5">
        <v>0.29752226324922021</v>
      </c>
      <c r="E35" s="5">
        <v>2.8372969809155606</v>
      </c>
      <c r="F35" s="5">
        <v>0.5935956166666666</v>
      </c>
      <c r="G35" s="5">
        <v>0.50927427974194039</v>
      </c>
      <c r="I35" s="5" t="s">
        <v>10</v>
      </c>
      <c r="J35" s="5">
        <v>0.61777722318992534</v>
      </c>
      <c r="K35" s="5">
        <v>0.68408254698022608</v>
      </c>
      <c r="L35" s="5">
        <v>0.29671045546315383</v>
      </c>
      <c r="M35" s="5">
        <v>2.8275812834755532</v>
      </c>
      <c r="N35" s="5">
        <v>0.5935956166666666</v>
      </c>
      <c r="O35" s="5">
        <v>0.52398350732383214</v>
      </c>
    </row>
    <row r="36" spans="1:15" ht="15.6" x14ac:dyDescent="0.3">
      <c r="A36" s="5" t="s">
        <v>11</v>
      </c>
      <c r="B36" s="5">
        <v>0.48323044871181836</v>
      </c>
      <c r="C36" s="5">
        <v>0.42092542044723641</v>
      </c>
      <c r="D36" s="5">
        <v>0.74897681186324661</v>
      </c>
      <c r="E36" s="5">
        <v>0.18879911762843457</v>
      </c>
      <c r="F36" s="5">
        <v>0.44140433322207367</v>
      </c>
      <c r="G36" s="5">
        <v>0.24665824725654786</v>
      </c>
      <c r="I36" s="5" t="s">
        <v>11</v>
      </c>
      <c r="J36" s="5">
        <v>0.46146460698620112</v>
      </c>
      <c r="K36" s="5">
        <v>0.37470630036701702</v>
      </c>
      <c r="L36" s="5">
        <v>0.77117280710440461</v>
      </c>
      <c r="M36" s="5">
        <v>0.20888066660747742</v>
      </c>
      <c r="N36" s="5">
        <v>0.44428032021008496</v>
      </c>
      <c r="O36" s="5">
        <v>0.2508297925151392</v>
      </c>
    </row>
    <row r="37" spans="1:15" ht="15.6" x14ac:dyDescent="0.3">
      <c r="A37" s="5" t="s">
        <v>12</v>
      </c>
      <c r="B37" s="5">
        <v>0.98253497556008118</v>
      </c>
      <c r="C37" s="5">
        <v>0.33483233166697451</v>
      </c>
      <c r="D37" s="5">
        <v>0.96316597167975671</v>
      </c>
      <c r="E37" s="5">
        <v>0.18298085682185583</v>
      </c>
      <c r="F37" s="5">
        <v>1.2011369684903004</v>
      </c>
      <c r="G37" s="5">
        <v>0.28024017348347158</v>
      </c>
      <c r="I37" s="5" t="s">
        <v>12</v>
      </c>
      <c r="J37" s="5">
        <v>0.9824744716859517</v>
      </c>
      <c r="K37" s="5">
        <v>0.30581375396680155</v>
      </c>
      <c r="L37" s="5">
        <v>0.97053656634635876</v>
      </c>
      <c r="M37" s="5">
        <v>0.17821275548068641</v>
      </c>
      <c r="N37" s="5">
        <v>1.1858293575754877</v>
      </c>
      <c r="O37" s="5">
        <v>0.26950297355548997</v>
      </c>
    </row>
    <row r="38" spans="1:15" ht="15.6" x14ac:dyDescent="0.3">
      <c r="A38" s="5" t="s">
        <v>61</v>
      </c>
      <c r="B38" s="5">
        <v>1.7890759554092417</v>
      </c>
      <c r="C38" s="5">
        <v>0.87958562621342962</v>
      </c>
      <c r="D38" s="5">
        <v>0.38948257800542768</v>
      </c>
      <c r="E38" s="5">
        <v>0.16307215637209896</v>
      </c>
      <c r="F38" s="5">
        <v>0.50787889801038189</v>
      </c>
      <c r="G38" s="5">
        <v>1.3363219082826168</v>
      </c>
      <c r="I38" s="5" t="s">
        <v>61</v>
      </c>
      <c r="J38" s="5">
        <v>1.7964380661250456</v>
      </c>
      <c r="K38" s="5">
        <v>0.87596220942790326</v>
      </c>
      <c r="L38" s="5">
        <v>0.38904950510682496</v>
      </c>
      <c r="M38" s="5">
        <v>0.17421577717970979</v>
      </c>
      <c r="N38" s="5">
        <v>0.53376203866959282</v>
      </c>
      <c r="O38" s="5">
        <v>1.3476936270398994</v>
      </c>
    </row>
    <row r="39" spans="1:15" ht="15.6" x14ac:dyDescent="0.3">
      <c r="A39" s="5" t="s">
        <v>13</v>
      </c>
      <c r="B39" s="5">
        <v>0.3065804613941413</v>
      </c>
      <c r="C39" s="5">
        <v>0.758442470219442</v>
      </c>
      <c r="D39" s="5">
        <v>0.47149226888802009</v>
      </c>
      <c r="E39" s="5">
        <v>0.21459688472898067</v>
      </c>
      <c r="F39" s="5">
        <v>0.27938958491818611</v>
      </c>
      <c r="G39" s="5">
        <v>0.2497155869376789</v>
      </c>
      <c r="I39" s="5" t="s">
        <v>13</v>
      </c>
      <c r="J39" s="5">
        <v>0.309138888105849</v>
      </c>
      <c r="K39" s="5">
        <v>0.69808497553854043</v>
      </c>
      <c r="L39" s="5">
        <v>0.46972170104397853</v>
      </c>
      <c r="M39" s="5">
        <v>0.19095132646339186</v>
      </c>
      <c r="N39" s="5">
        <v>0.32040163852334286</v>
      </c>
      <c r="O39" s="5">
        <v>0.24635060902881867</v>
      </c>
    </row>
    <row r="40" spans="1:15" ht="15.6" x14ac:dyDescent="0.3">
      <c r="A40" s="5" t="s">
        <v>62</v>
      </c>
      <c r="B40" s="5">
        <v>0.41226785472022937</v>
      </c>
      <c r="C40" s="5">
        <v>0.22059748172863214</v>
      </c>
      <c r="D40" s="5">
        <v>0.27506882003950511</v>
      </c>
      <c r="E40" s="5">
        <v>0.47389111293175629</v>
      </c>
      <c r="F40" s="5">
        <v>0.24453026063629721</v>
      </c>
      <c r="G40" s="5">
        <v>0.29578389603660465</v>
      </c>
      <c r="I40" s="5" t="s">
        <v>62</v>
      </c>
      <c r="J40" s="5">
        <v>0.40415312025224309</v>
      </c>
      <c r="K40" s="5">
        <v>0.22596770492450954</v>
      </c>
      <c r="L40" s="5">
        <v>0.28026540352455365</v>
      </c>
      <c r="M40" s="5">
        <v>0.46382544756397698</v>
      </c>
      <c r="N40" s="5">
        <v>0.24150409605169396</v>
      </c>
      <c r="O40" s="5">
        <v>0.31523367845121281</v>
      </c>
    </row>
    <row r="41" spans="1:15" ht="15.6" x14ac:dyDescent="0.3">
      <c r="A41" s="5" t="s">
        <v>14</v>
      </c>
      <c r="B41" s="5">
        <v>0.80531269301784458</v>
      </c>
      <c r="C41" s="5">
        <v>0.59402965404423791</v>
      </c>
      <c r="D41" s="5">
        <v>0.96302350758707178</v>
      </c>
      <c r="E41" s="5">
        <v>0.30180772783615545</v>
      </c>
      <c r="F41" s="5">
        <v>0.32655381856000448</v>
      </c>
      <c r="G41" s="5">
        <v>0.59416506098615418</v>
      </c>
      <c r="I41" s="5" t="s">
        <v>14</v>
      </c>
      <c r="J41" s="5">
        <v>0.73390102088594666</v>
      </c>
      <c r="K41" s="5">
        <v>0.62391947395913949</v>
      </c>
      <c r="L41" s="5">
        <v>1.0428756784554267</v>
      </c>
      <c r="M41" s="5">
        <v>0.25331193153686909</v>
      </c>
      <c r="N41" s="5">
        <v>0.28693921634252662</v>
      </c>
      <c r="O41" s="5">
        <v>0.52719786164403559</v>
      </c>
    </row>
    <row r="42" spans="1:15" ht="15.6" x14ac:dyDescent="0.3">
      <c r="A42" s="5" t="s">
        <v>15</v>
      </c>
      <c r="B42" s="5">
        <v>0.40714665558339047</v>
      </c>
      <c r="C42" s="5">
        <v>0.75134302398639086</v>
      </c>
      <c r="D42" s="5">
        <v>1.4532753383334971</v>
      </c>
      <c r="E42" s="5">
        <v>0.77254442309500382</v>
      </c>
      <c r="F42" s="5">
        <v>0.66213844991965343</v>
      </c>
      <c r="G42" s="5">
        <v>0.54146610553353958</v>
      </c>
      <c r="I42" s="5" t="s">
        <v>15</v>
      </c>
      <c r="J42" s="5">
        <v>0.40489872360863954</v>
      </c>
      <c r="K42" s="5">
        <v>0.7338239454642802</v>
      </c>
      <c r="L42" s="5">
        <v>1.489194470261058</v>
      </c>
      <c r="M42" s="5">
        <v>0.72368538597622811</v>
      </c>
      <c r="N42" s="5">
        <v>0.66094954634974146</v>
      </c>
      <c r="O42" s="5">
        <v>0.50387780136709626</v>
      </c>
    </row>
    <row r="43" spans="1:15" ht="15.6" x14ac:dyDescent="0.3">
      <c r="A43" s="5" t="s">
        <v>16</v>
      </c>
      <c r="B43" s="5">
        <v>2.2916944959139771</v>
      </c>
      <c r="C43" s="5">
        <v>0.67059593700950648</v>
      </c>
      <c r="D43" s="5">
        <v>1.2857969470252126</v>
      </c>
      <c r="E43" s="5">
        <v>1.1347220333714916</v>
      </c>
      <c r="F43" s="5">
        <v>0.46548540326877058</v>
      </c>
      <c r="G43" s="12">
        <v>3.1590337508333337</v>
      </c>
      <c r="I43" s="5" t="s">
        <v>16</v>
      </c>
      <c r="J43" s="5">
        <v>2.303814595895628</v>
      </c>
      <c r="K43" s="5">
        <v>0.67347628302949325</v>
      </c>
      <c r="L43" s="5">
        <v>1.2801888018426599</v>
      </c>
      <c r="M43" s="5">
        <v>1.1287320979721056</v>
      </c>
      <c r="N43" s="5">
        <v>0.46082865571915299</v>
      </c>
      <c r="O43" s="12">
        <v>3.1590337508333337</v>
      </c>
    </row>
    <row r="44" spans="1:15" x14ac:dyDescent="0.3">
      <c r="A44" s="1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O44" s="1"/>
    </row>
    <row r="46" spans="1:15" x14ac:dyDescent="0.3">
      <c r="A46" s="18" t="s">
        <v>34</v>
      </c>
      <c r="B46" s="18"/>
      <c r="C46" s="18"/>
      <c r="D46" s="18"/>
      <c r="E46" s="18"/>
      <c r="F46" s="18"/>
      <c r="G46" s="18"/>
      <c r="I46" s="18" t="s">
        <v>35</v>
      </c>
      <c r="J46" s="18"/>
      <c r="K46" s="18"/>
      <c r="L46" s="18"/>
      <c r="M46" s="18"/>
      <c r="N46" s="18"/>
      <c r="O46" s="18"/>
    </row>
    <row r="47" spans="1:15" ht="15.6" x14ac:dyDescent="0.3">
      <c r="A47" s="5" t="s">
        <v>47</v>
      </c>
      <c r="B47" s="1" t="s">
        <v>48</v>
      </c>
      <c r="C47" s="1" t="s">
        <v>49</v>
      </c>
      <c r="D47" s="1" t="s">
        <v>50</v>
      </c>
      <c r="E47" s="1" t="s">
        <v>51</v>
      </c>
      <c r="F47" s="1" t="s">
        <v>52</v>
      </c>
      <c r="G47" s="1" t="s">
        <v>53</v>
      </c>
      <c r="I47" s="5" t="s">
        <v>47</v>
      </c>
      <c r="J47" s="1" t="s">
        <v>48</v>
      </c>
      <c r="K47" s="1" t="s">
        <v>49</v>
      </c>
      <c r="L47" s="1" t="s">
        <v>50</v>
      </c>
      <c r="M47" s="1" t="s">
        <v>51</v>
      </c>
      <c r="N47" s="1" t="s">
        <v>52</v>
      </c>
      <c r="O47" s="1" t="s">
        <v>53</v>
      </c>
    </row>
    <row r="48" spans="1:15" ht="15.6" x14ac:dyDescent="0.3">
      <c r="A48" s="5" t="s">
        <v>5</v>
      </c>
      <c r="B48">
        <f>B29-B10</f>
        <v>-3.3836371795694375E-2</v>
      </c>
      <c r="C48">
        <f t="shared" ref="C48:G48" si="2">C29-C10</f>
        <v>-9.5562544904352204E-3</v>
      </c>
      <c r="D48">
        <f t="shared" si="2"/>
        <v>8.1923546961104599E-4</v>
      </c>
      <c r="E48">
        <f t="shared" si="2"/>
        <v>-2.3297303119797497E-3</v>
      </c>
      <c r="F48">
        <f t="shared" si="2"/>
        <v>-1.8939819864116081E-3</v>
      </c>
      <c r="G48">
        <f t="shared" si="2"/>
        <v>-1.9880657799886681E-4</v>
      </c>
      <c r="I48" s="5" t="s">
        <v>5</v>
      </c>
      <c r="J48">
        <f>J29-J10</f>
        <v>-3.4721998470538917E-2</v>
      </c>
      <c r="K48">
        <f t="shared" ref="K48:O48" si="3">K29-K10</f>
        <v>-8.4648540329873706E-3</v>
      </c>
      <c r="L48">
        <f t="shared" si="3"/>
        <v>-3.6813483512654344E-4</v>
      </c>
      <c r="M48">
        <f t="shared" si="3"/>
        <v>6.5730511500389222E-4</v>
      </c>
      <c r="N48">
        <f t="shared" si="3"/>
        <v>5.0698784275463038E-4</v>
      </c>
      <c r="O48">
        <f t="shared" si="3"/>
        <v>3.1746213491201658E-4</v>
      </c>
    </row>
    <row r="49" spans="1:15" ht="15.6" x14ac:dyDescent="0.3">
      <c r="A49" s="5" t="s">
        <v>6</v>
      </c>
      <c r="B49">
        <f t="shared" ref="B49:G62" si="4">B30-B11</f>
        <v>-8.6278810499543057E-2</v>
      </c>
      <c r="C49">
        <f t="shared" si="4"/>
        <v>-2.6057690866114425E-2</v>
      </c>
      <c r="D49">
        <f t="shared" si="4"/>
        <v>3.9580489804508456E-2</v>
      </c>
      <c r="E49">
        <f t="shared" si="4"/>
        <v>-4.5400833835610943E-2</v>
      </c>
      <c r="F49">
        <f t="shared" si="4"/>
        <v>6.4926747739550095E-2</v>
      </c>
      <c r="G49">
        <f t="shared" si="4"/>
        <v>-0.10681329035551945</v>
      </c>
      <c r="I49" s="5" t="s">
        <v>6</v>
      </c>
      <c r="J49">
        <f t="shared" ref="J49:O61" si="5">J30-J11</f>
        <v>-5.0069950010771358E-2</v>
      </c>
      <c r="K49">
        <f t="shared" si="5"/>
        <v>-4.5137720869636522E-2</v>
      </c>
      <c r="L49">
        <f t="shared" si="5"/>
        <v>4.2919541118918603E-2</v>
      </c>
      <c r="M49">
        <f t="shared" si="5"/>
        <v>-3.1161320263605741E-2</v>
      </c>
      <c r="N49">
        <f t="shared" si="5"/>
        <v>0.17407415705306772</v>
      </c>
      <c r="O49">
        <f t="shared" si="5"/>
        <v>4.9671951491747635E-4</v>
      </c>
    </row>
    <row r="50" spans="1:15" ht="15.6" x14ac:dyDescent="0.3">
      <c r="A50" s="5" t="s">
        <v>7</v>
      </c>
      <c r="B50">
        <f t="shared" si="4"/>
        <v>5.3764682562653321E-2</v>
      </c>
      <c r="C50">
        <f t="shared" si="4"/>
        <v>-1.1837965500000019E-2</v>
      </c>
      <c r="D50">
        <f t="shared" si="4"/>
        <v>7.1585288645645839E-3</v>
      </c>
      <c r="E50">
        <f t="shared" si="4"/>
        <v>9.7751254035404855E-2</v>
      </c>
      <c r="F50">
        <f t="shared" si="4"/>
        <v>1.2074467202234151E-2</v>
      </c>
      <c r="G50">
        <f t="shared" si="4"/>
        <v>-3.3137984366971018E-2</v>
      </c>
      <c r="I50" s="5" t="s">
        <v>7</v>
      </c>
      <c r="J50">
        <f t="shared" si="5"/>
        <v>1.4326392451137759E-2</v>
      </c>
      <c r="K50">
        <f t="shared" si="5"/>
        <v>-1.1837965500000019E-2</v>
      </c>
      <c r="L50">
        <f t="shared" si="5"/>
        <v>1.8456615311532865E-3</v>
      </c>
      <c r="M50">
        <f t="shared" si="5"/>
        <v>1.4522512691480971E-2</v>
      </c>
      <c r="N50">
        <f t="shared" si="5"/>
        <v>6.6398490226338147E-3</v>
      </c>
      <c r="O50">
        <f t="shared" si="5"/>
        <v>-5.5039975706905553E-2</v>
      </c>
    </row>
    <row r="51" spans="1:15" ht="15.6" x14ac:dyDescent="0.3">
      <c r="A51" s="5" t="s">
        <v>60</v>
      </c>
      <c r="B51">
        <f t="shared" si="4"/>
        <v>3.5914263272704638E-2</v>
      </c>
      <c r="C51">
        <f t="shared" si="4"/>
        <v>4.9158280290962808E-2</v>
      </c>
      <c r="D51">
        <f t="shared" si="4"/>
        <v>-7.2128719351396753E-2</v>
      </c>
      <c r="E51">
        <f t="shared" si="4"/>
        <v>-3.8944019306062394E-2</v>
      </c>
      <c r="F51">
        <f t="shared" si="4"/>
        <v>2.5040718366520442E-2</v>
      </c>
      <c r="G51">
        <f t="shared" si="4"/>
        <v>-5.0771902675981195E-3</v>
      </c>
      <c r="I51" s="5" t="s">
        <v>60</v>
      </c>
      <c r="J51">
        <f t="shared" si="5"/>
        <v>1.6056985088324094E-2</v>
      </c>
      <c r="K51">
        <f t="shared" si="5"/>
        <v>2.3513100766700212E-2</v>
      </c>
      <c r="L51">
        <f t="shared" si="5"/>
        <v>-7.5090144976550532E-2</v>
      </c>
      <c r="M51">
        <f t="shared" si="5"/>
        <v>-2.5713601646652817E-2</v>
      </c>
      <c r="N51">
        <f t="shared" si="5"/>
        <v>9.93726779168147E-3</v>
      </c>
      <c r="O51">
        <f t="shared" si="5"/>
        <v>-6.8231881093125391E-3</v>
      </c>
    </row>
    <row r="52" spans="1:15" ht="15.6" x14ac:dyDescent="0.3">
      <c r="A52" s="5" t="s">
        <v>8</v>
      </c>
      <c r="B52">
        <f t="shared" si="4"/>
        <v>1.0926203349759911E-2</v>
      </c>
      <c r="C52">
        <f t="shared" si="4"/>
        <v>-7.2953072644466044E-4</v>
      </c>
      <c r="D52">
        <f t="shared" si="4"/>
        <v>0</v>
      </c>
      <c r="E52">
        <f t="shared" si="4"/>
        <v>-4.6732908931259587E-3</v>
      </c>
      <c r="F52">
        <f t="shared" si="4"/>
        <v>2.7078540783369576E-3</v>
      </c>
      <c r="G52">
        <f t="shared" si="4"/>
        <v>-9.9965658885655673E-3</v>
      </c>
      <c r="I52" s="5" t="s">
        <v>8</v>
      </c>
      <c r="J52">
        <f t="shared" si="5"/>
        <v>1.0745938275022071E-2</v>
      </c>
      <c r="K52">
        <f t="shared" si="5"/>
        <v>3.8149368727241062E-3</v>
      </c>
      <c r="L52">
        <f t="shared" si="5"/>
        <v>0</v>
      </c>
      <c r="M52">
        <f t="shared" si="5"/>
        <v>-1.4418008777322605E-2</v>
      </c>
      <c r="N52">
        <f t="shared" si="5"/>
        <v>5.0783309488451056E-3</v>
      </c>
      <c r="O52">
        <f t="shared" si="5"/>
        <v>-1.1797828634632246E-2</v>
      </c>
    </row>
    <row r="53" spans="1:15" ht="15.6" x14ac:dyDescent="0.3">
      <c r="A53" s="5" t="s">
        <v>9</v>
      </c>
      <c r="B53">
        <f t="shared" si="4"/>
        <v>5.032110879545959E-2</v>
      </c>
      <c r="C53">
        <f t="shared" si="4"/>
        <v>-1.1323294028825481E-2</v>
      </c>
      <c r="D53">
        <f t="shared" si="4"/>
        <v>-0.18528372034750307</v>
      </c>
      <c r="E53">
        <f t="shared" si="4"/>
        <v>0</v>
      </c>
      <c r="F53">
        <f t="shared" si="4"/>
        <v>-6.8645153391504676E-2</v>
      </c>
      <c r="G53">
        <f t="shared" si="4"/>
        <v>-8.5801594746897747E-2</v>
      </c>
      <c r="I53" s="5" t="s">
        <v>9</v>
      </c>
      <c r="J53">
        <f t="shared" si="5"/>
        <v>6.1130468105262903E-2</v>
      </c>
      <c r="K53">
        <f t="shared" si="5"/>
        <v>-8.4716979615664378E-3</v>
      </c>
      <c r="L53">
        <f t="shared" si="5"/>
        <v>-0.1078724449584707</v>
      </c>
      <c r="M53">
        <f t="shared" si="5"/>
        <v>0</v>
      </c>
      <c r="N53">
        <f t="shared" si="5"/>
        <v>-7.1402997489497411E-2</v>
      </c>
      <c r="O53">
        <f t="shared" si="5"/>
        <v>-4.3296918712832144E-2</v>
      </c>
    </row>
    <row r="54" spans="1:15" ht="15.6" x14ac:dyDescent="0.3">
      <c r="A54" s="5" t="s">
        <v>10</v>
      </c>
      <c r="B54">
        <f t="shared" si="4"/>
        <v>-1.5610717335950985E-3</v>
      </c>
      <c r="C54">
        <f t="shared" si="4"/>
        <v>5.2998495443685956E-2</v>
      </c>
      <c r="D54">
        <f t="shared" si="4"/>
        <v>-5.5827661736369549E-3</v>
      </c>
      <c r="E54">
        <f t="shared" si="4"/>
        <v>-3.9323334948161204E-2</v>
      </c>
      <c r="F54">
        <f t="shared" si="4"/>
        <v>0</v>
      </c>
      <c r="G54">
        <f t="shared" si="4"/>
        <v>-3.5421703333866628E-3</v>
      </c>
      <c r="I54" s="5" t="s">
        <v>10</v>
      </c>
      <c r="J54">
        <f t="shared" si="5"/>
        <v>-5.1080515132048143E-3</v>
      </c>
      <c r="K54">
        <f t="shared" si="5"/>
        <v>5.6885051120095453E-2</v>
      </c>
      <c r="L54">
        <f t="shared" si="5"/>
        <v>-1.0568983084087991E-2</v>
      </c>
      <c r="M54">
        <f t="shared" si="5"/>
        <v>-4.650018862275207E-2</v>
      </c>
      <c r="N54">
        <f t="shared" si="5"/>
        <v>0</v>
      </c>
      <c r="O54">
        <f t="shared" si="5"/>
        <v>-8.2725916111031639E-3</v>
      </c>
    </row>
    <row r="55" spans="1:15" ht="15.6" x14ac:dyDescent="0.3">
      <c r="A55" s="5" t="s">
        <v>11</v>
      </c>
      <c r="B55">
        <f t="shared" si="4"/>
        <v>-3.8149578650017391E-2</v>
      </c>
      <c r="C55">
        <f t="shared" si="4"/>
        <v>3.7122649444113476E-2</v>
      </c>
      <c r="D55">
        <f t="shared" si="4"/>
        <v>-8.8039008966818377E-2</v>
      </c>
      <c r="E55">
        <f t="shared" si="4"/>
        <v>-4.7423900197769375E-2</v>
      </c>
      <c r="F55">
        <f t="shared" si="4"/>
        <v>-1.0178514572540154E-2</v>
      </c>
      <c r="G55">
        <f t="shared" si="4"/>
        <v>-3.2639266339237444E-2</v>
      </c>
      <c r="I55" s="5" t="s">
        <v>11</v>
      </c>
      <c r="J55">
        <f t="shared" si="5"/>
        <v>-6.2107523847947654E-2</v>
      </c>
      <c r="K55">
        <f t="shared" si="5"/>
        <v>-3.2707846791038553E-3</v>
      </c>
      <c r="L55">
        <f t="shared" si="5"/>
        <v>-8.0842645853738682E-2</v>
      </c>
      <c r="M55">
        <f t="shared" si="5"/>
        <v>-3.691402436946345E-2</v>
      </c>
      <c r="N55">
        <f t="shared" si="5"/>
        <v>-2.2761099165496845E-2</v>
      </c>
      <c r="O55">
        <f t="shared" si="5"/>
        <v>-3.6294931659481389E-2</v>
      </c>
    </row>
    <row r="56" spans="1:15" ht="15.6" x14ac:dyDescent="0.3">
      <c r="A56" s="5" t="s">
        <v>12</v>
      </c>
      <c r="B56">
        <f t="shared" si="4"/>
        <v>-4.414939591267486E-3</v>
      </c>
      <c r="C56">
        <f t="shared" si="4"/>
        <v>5.7416472595941737E-2</v>
      </c>
      <c r="D56">
        <f t="shared" si="4"/>
        <v>2.0759386165036697E-2</v>
      </c>
      <c r="E56">
        <f t="shared" si="4"/>
        <v>-1.0127984448266597E-2</v>
      </c>
      <c r="F56">
        <f t="shared" si="4"/>
        <v>-4.3152200597207369E-4</v>
      </c>
      <c r="G56">
        <f t="shared" si="4"/>
        <v>-1.8396144105532808E-2</v>
      </c>
      <c r="I56" s="5" t="s">
        <v>12</v>
      </c>
      <c r="J56">
        <f t="shared" si="5"/>
        <v>-8.3657359414585075E-3</v>
      </c>
      <c r="K56">
        <f t="shared" si="5"/>
        <v>4.0393350901955338E-2</v>
      </c>
      <c r="L56">
        <f t="shared" si="5"/>
        <v>-7.7978431756956512E-3</v>
      </c>
      <c r="M56">
        <f t="shared" si="5"/>
        <v>3.1145952293236134E-3</v>
      </c>
      <c r="N56">
        <f t="shared" si="5"/>
        <v>-3.0722936362566067E-3</v>
      </c>
      <c r="O56">
        <f t="shared" si="5"/>
        <v>-3.8560460445664857E-2</v>
      </c>
    </row>
    <row r="57" spans="1:15" ht="15.6" x14ac:dyDescent="0.3">
      <c r="A57" s="5" t="s">
        <v>61</v>
      </c>
      <c r="B57">
        <f t="shared" si="4"/>
        <v>-3.3559699701792622E-2</v>
      </c>
      <c r="C57">
        <f t="shared" si="4"/>
        <v>6.5552797244259331E-3</v>
      </c>
      <c r="D57">
        <f t="shared" si="4"/>
        <v>3.4905653462580233E-3</v>
      </c>
      <c r="E57">
        <f t="shared" si="4"/>
        <v>-3.4336064029464985E-2</v>
      </c>
      <c r="F57">
        <f t="shared" si="4"/>
        <v>-5.4975665338513058E-2</v>
      </c>
      <c r="G57">
        <f t="shared" si="4"/>
        <v>1.4574591495934097E-2</v>
      </c>
      <c r="I57" s="5" t="s">
        <v>61</v>
      </c>
      <c r="J57">
        <f t="shared" si="5"/>
        <v>5.7989211912990335E-2</v>
      </c>
      <c r="K57">
        <f t="shared" si="5"/>
        <v>-1.3201363387578269E-2</v>
      </c>
      <c r="L57">
        <f t="shared" si="5"/>
        <v>-5.9711480234955372E-2</v>
      </c>
      <c r="M57">
        <f t="shared" si="5"/>
        <v>-4.0045093980231067E-2</v>
      </c>
      <c r="N57">
        <f t="shared" si="5"/>
        <v>-6.8504648341381147E-2</v>
      </c>
      <c r="O57">
        <f t="shared" si="5"/>
        <v>7.319231036450935E-3</v>
      </c>
    </row>
    <row r="58" spans="1:15" ht="15.6" x14ac:dyDescent="0.3">
      <c r="A58" s="5" t="s">
        <v>13</v>
      </c>
      <c r="B58">
        <f t="shared" si="4"/>
        <v>1.258262178163605E-2</v>
      </c>
      <c r="C58">
        <f t="shared" si="4"/>
        <v>3.5535149726687587E-2</v>
      </c>
      <c r="D58">
        <f t="shared" si="4"/>
        <v>8.9085151211238389E-3</v>
      </c>
      <c r="E58">
        <f t="shared" si="4"/>
        <v>-3.1947573701687965E-2</v>
      </c>
      <c r="F58">
        <f t="shared" si="4"/>
        <v>4.2537223741876962E-2</v>
      </c>
      <c r="G58">
        <f t="shared" si="4"/>
        <v>-3.7828102535672758E-3</v>
      </c>
      <c r="I58" s="5" t="s">
        <v>13</v>
      </c>
      <c r="J58">
        <f t="shared" si="5"/>
        <v>1.5200356651930647E-2</v>
      </c>
      <c r="K58">
        <f t="shared" si="5"/>
        <v>-1.8955256497140027E-2</v>
      </c>
      <c r="L58">
        <f t="shared" si="5"/>
        <v>9.4872774863306031E-3</v>
      </c>
      <c r="M58">
        <f t="shared" si="5"/>
        <v>-4.7772686945554504E-2</v>
      </c>
      <c r="N58">
        <f t="shared" si="5"/>
        <v>9.3135014153999857E-2</v>
      </c>
      <c r="O58">
        <f t="shared" si="5"/>
        <v>-3.8419245727492335E-3</v>
      </c>
    </row>
    <row r="59" spans="1:15" ht="15.6" x14ac:dyDescent="0.3">
      <c r="A59" s="5" t="s">
        <v>62</v>
      </c>
      <c r="B59">
        <f t="shared" si="4"/>
        <v>-5.9958476489293977E-2</v>
      </c>
      <c r="C59">
        <f t="shared" si="4"/>
        <v>-0.25229751239678316</v>
      </c>
      <c r="D59">
        <f t="shared" si="4"/>
        <v>-2.6559178243328763E-2</v>
      </c>
      <c r="E59">
        <f t="shared" si="4"/>
        <v>-1.908641689284829E-2</v>
      </c>
      <c r="F59">
        <f t="shared" si="4"/>
        <v>-3.457617732079829E-2</v>
      </c>
      <c r="G59">
        <f t="shared" si="4"/>
        <v>-4.3276200277829691E-2</v>
      </c>
      <c r="I59" s="5" t="s">
        <v>62</v>
      </c>
      <c r="J59">
        <f t="shared" si="5"/>
        <v>-8.4959863576294981E-2</v>
      </c>
      <c r="K59">
        <f t="shared" si="5"/>
        <v>-0.16947340570043609</v>
      </c>
      <c r="L59">
        <f t="shared" si="5"/>
        <v>-2.2208921181918473E-2</v>
      </c>
      <c r="M59">
        <f t="shared" si="5"/>
        <v>-5.3766628862892463E-2</v>
      </c>
      <c r="N59">
        <f t="shared" si="5"/>
        <v>-2.1442317092653901E-2</v>
      </c>
      <c r="O59">
        <f t="shared" si="5"/>
        <v>-2.1890021451657138E-2</v>
      </c>
    </row>
    <row r="60" spans="1:15" ht="15.6" x14ac:dyDescent="0.3">
      <c r="A60" s="5" t="s">
        <v>14</v>
      </c>
      <c r="B60">
        <f t="shared" si="4"/>
        <v>1.1400550785920394E-2</v>
      </c>
      <c r="C60">
        <f t="shared" si="4"/>
        <v>-3.4882388375538032E-2</v>
      </c>
      <c r="D60">
        <f t="shared" si="4"/>
        <v>7.5799929747727868E-2</v>
      </c>
      <c r="E60">
        <f t="shared" si="4"/>
        <v>1.7320859222120788E-3</v>
      </c>
      <c r="F60">
        <f t="shared" si="4"/>
        <v>5.2389559158077692E-2</v>
      </c>
      <c r="G60">
        <f t="shared" si="4"/>
        <v>0.10129668753143378</v>
      </c>
      <c r="I60" s="5" t="s">
        <v>14</v>
      </c>
      <c r="J60">
        <f t="shared" si="5"/>
        <v>-1.5693676351608454E-2</v>
      </c>
      <c r="K60">
        <f t="shared" si="5"/>
        <v>-4.3038078392102941E-2</v>
      </c>
      <c r="L60">
        <f t="shared" si="5"/>
        <v>0.10433694807213301</v>
      </c>
      <c r="M60">
        <f t="shared" si="5"/>
        <v>-2.608200248866166E-2</v>
      </c>
      <c r="N60">
        <f t="shared" si="5"/>
        <v>4.8923771595924537E-3</v>
      </c>
      <c r="O60">
        <f t="shared" si="5"/>
        <v>0.11387481871913896</v>
      </c>
    </row>
    <row r="61" spans="1:15" ht="15.6" x14ac:dyDescent="0.3">
      <c r="A61" s="5" t="s">
        <v>15</v>
      </c>
      <c r="B61">
        <f t="shared" si="4"/>
        <v>9.2937574125805389E-3</v>
      </c>
      <c r="C61">
        <f t="shared" si="4"/>
        <v>1.7729033355289747E-2</v>
      </c>
      <c r="D61">
        <f t="shared" si="4"/>
        <v>-3.8940048507964953E-2</v>
      </c>
      <c r="E61">
        <f t="shared" si="4"/>
        <v>4.4945985824575208E-2</v>
      </c>
      <c r="F61">
        <f t="shared" si="4"/>
        <v>-4.6120045249715691E-3</v>
      </c>
      <c r="G61">
        <f t="shared" si="4"/>
        <v>2.8334551015627207E-2</v>
      </c>
      <c r="I61" s="5" t="s">
        <v>15</v>
      </c>
      <c r="J61">
        <f t="shared" si="5"/>
        <v>4.7102070496695125E-3</v>
      </c>
      <c r="K61">
        <f t="shared" si="5"/>
        <v>8.4044430632919109E-3</v>
      </c>
      <c r="L61">
        <f t="shared" si="5"/>
        <v>-2.5781972872591208E-2</v>
      </c>
      <c r="M61">
        <f t="shared" si="5"/>
        <v>3.8078962638956604E-2</v>
      </c>
      <c r="N61">
        <f t="shared" si="5"/>
        <v>-6.9945566625033706E-3</v>
      </c>
      <c r="O61">
        <f t="shared" si="5"/>
        <v>1.9804336681241874E-2</v>
      </c>
    </row>
    <row r="62" spans="1:15" ht="15.6" x14ac:dyDescent="0.3">
      <c r="A62" s="5" t="s">
        <v>16</v>
      </c>
      <c r="B62">
        <f t="shared" si="4"/>
        <v>0.23656057028970112</v>
      </c>
      <c r="C62">
        <f t="shared" si="4"/>
        <v>-6.1785574534315435E-3</v>
      </c>
      <c r="D62">
        <f t="shared" si="4"/>
        <v>-0.13226184885939629</v>
      </c>
      <c r="E62">
        <f t="shared" si="4"/>
        <v>-8.0080336518823181E-2</v>
      </c>
      <c r="F62">
        <f t="shared" si="4"/>
        <v>9.7815000397067919E-3</v>
      </c>
      <c r="G62" s="4">
        <f>G43-G24</f>
        <v>-0.5145395331666669</v>
      </c>
      <c r="I62" s="5" t="s">
        <v>16</v>
      </c>
      <c r="J62">
        <f>J43-J24</f>
        <v>0.23458547023359877</v>
      </c>
      <c r="K62">
        <f t="shared" ref="K62:O62" si="6">K43-K24</f>
        <v>-7.3264548911396998E-3</v>
      </c>
      <c r="L62">
        <f t="shared" si="6"/>
        <v>-0.13061268987684094</v>
      </c>
      <c r="M62">
        <f t="shared" si="6"/>
        <v>-7.7932842079935227E-2</v>
      </c>
      <c r="N62">
        <f t="shared" si="6"/>
        <v>1.11053535622474E-2</v>
      </c>
      <c r="O62" s="4">
        <f t="shared" si="6"/>
        <v>-0.5145395331666669</v>
      </c>
    </row>
    <row r="63" spans="1:15" x14ac:dyDescent="0.3">
      <c r="A63" s="1"/>
      <c r="I63" s="1"/>
    </row>
    <row r="65" spans="1:17" x14ac:dyDescent="0.3">
      <c r="A65" s="18" t="s">
        <v>24</v>
      </c>
      <c r="B65" s="18"/>
      <c r="C65" s="18"/>
      <c r="D65" s="18"/>
      <c r="E65" s="18"/>
      <c r="F65" s="18"/>
      <c r="G65" s="18"/>
      <c r="I65" s="18" t="s">
        <v>24</v>
      </c>
      <c r="J65" s="18"/>
      <c r="K65" s="18"/>
      <c r="L65" s="18"/>
      <c r="M65" s="18"/>
      <c r="N65" s="18"/>
      <c r="O65" s="18"/>
    </row>
    <row r="66" spans="1:17" x14ac:dyDescent="0.3">
      <c r="A66" s="1" t="s">
        <v>36</v>
      </c>
      <c r="B66" t="s">
        <v>58</v>
      </c>
      <c r="C66" t="s">
        <v>37</v>
      </c>
      <c r="D66" t="s">
        <v>40</v>
      </c>
      <c r="E66" t="s">
        <v>41</v>
      </c>
      <c r="F66" t="s">
        <v>38</v>
      </c>
      <c r="G66" t="s">
        <v>39</v>
      </c>
      <c r="I66" s="1" t="s">
        <v>36</v>
      </c>
      <c r="J66" t="s">
        <v>58</v>
      </c>
      <c r="K66" t="s">
        <v>37</v>
      </c>
      <c r="L66" t="s">
        <v>40</v>
      </c>
      <c r="M66" t="s">
        <v>41</v>
      </c>
      <c r="N66" t="s">
        <v>38</v>
      </c>
      <c r="O66" t="s">
        <v>39</v>
      </c>
    </row>
    <row r="67" spans="1:17" x14ac:dyDescent="0.3">
      <c r="A67">
        <f>AVERAGE(B48:G63)</f>
        <v>-1.3485738868347353E-2</v>
      </c>
      <c r="B67">
        <f>STDEV(B48:G63)</f>
        <v>7.9327206866568481E-2</v>
      </c>
      <c r="C67">
        <f>MEDIAN(B48:G63)</f>
        <v>-3.6624902934769693E-3</v>
      </c>
      <c r="D67">
        <f>MIN(B48:G63)</f>
        <v>-0.5145395331666669</v>
      </c>
      <c r="E67">
        <f>MAX(B48:G63)</f>
        <v>0.23656057028970112</v>
      </c>
      <c r="F67" cm="1">
        <f t="array" ref="F67">MIN(ABS(B48:G62))</f>
        <v>0</v>
      </c>
      <c r="G67" cm="1">
        <f t="array" ref="G67">MAX(ABS(B48:G63))</f>
        <v>0.5145395331666669</v>
      </c>
      <c r="I67">
        <f>AVERAGE(J48:O63)</f>
        <v>-1.3733341168576338E-2</v>
      </c>
      <c r="J67">
        <f>STDEV(J48:O63)</f>
        <v>7.6143779805642381E-2</v>
      </c>
      <c r="K67">
        <f>MEDIAN(J48:O63)</f>
        <v>-7.5621490334176755E-3</v>
      </c>
      <c r="L67">
        <f>MIN(J48:O63)</f>
        <v>-0.5145395331666669</v>
      </c>
      <c r="M67">
        <f>MAX(J48:O63)</f>
        <v>0.23458547023359877</v>
      </c>
      <c r="N67" cm="1">
        <f t="array" ref="N67">MIN(ABS(J48:O62))</f>
        <v>0</v>
      </c>
      <c r="O67" cm="1">
        <f t="array" ref="O67">MAX(ABS(J48:O63))</f>
        <v>0.5145395331666669</v>
      </c>
    </row>
    <row r="69" spans="1:17" x14ac:dyDescent="0.3">
      <c r="A69" s="18" t="s">
        <v>63</v>
      </c>
      <c r="B69" s="18"/>
      <c r="C69" s="18"/>
      <c r="D69" s="18"/>
      <c r="E69" s="18"/>
      <c r="F69" s="18"/>
      <c r="G69" s="18"/>
      <c r="H69" s="4"/>
      <c r="I69" s="18" t="s">
        <v>64</v>
      </c>
      <c r="J69" s="18"/>
      <c r="K69" s="18"/>
      <c r="L69" s="18"/>
      <c r="M69" s="18"/>
      <c r="N69" s="18"/>
      <c r="O69" s="18"/>
      <c r="P69" s="4"/>
      <c r="Q69" s="4"/>
    </row>
    <row r="70" spans="1:17" ht="15.6" x14ac:dyDescent="0.3">
      <c r="A70" s="5" t="s">
        <v>47</v>
      </c>
      <c r="B70" s="1" t="s">
        <v>48</v>
      </c>
      <c r="C70" s="1" t="s">
        <v>49</v>
      </c>
      <c r="D70" s="1" t="s">
        <v>50</v>
      </c>
      <c r="E70" s="1" t="s">
        <v>51</v>
      </c>
      <c r="F70" s="1" t="s">
        <v>52</v>
      </c>
      <c r="G70" s="1" t="s">
        <v>53</v>
      </c>
      <c r="I70" s="5" t="s">
        <v>47</v>
      </c>
      <c r="J70" s="1" t="s">
        <v>48</v>
      </c>
      <c r="K70" s="1" t="s">
        <v>49</v>
      </c>
      <c r="L70" s="1" t="s">
        <v>50</v>
      </c>
      <c r="M70" s="1" t="s">
        <v>51</v>
      </c>
      <c r="N70" s="1" t="s">
        <v>52</v>
      </c>
      <c r="O70" s="1" t="s">
        <v>53</v>
      </c>
    </row>
    <row r="71" spans="1:17" ht="15.6" x14ac:dyDescent="0.3">
      <c r="A71" s="5" t="s">
        <v>5</v>
      </c>
      <c r="B71">
        <f>J29-B29</f>
        <v>1.1619130942065459E-3</v>
      </c>
      <c r="C71">
        <f t="shared" ref="C71:G71" si="7">K29-C29</f>
        <v>-3.2784922361173141E-4</v>
      </c>
      <c r="D71">
        <f t="shared" si="7"/>
        <v>5.2018335194234933E-3</v>
      </c>
      <c r="E71">
        <f t="shared" si="7"/>
        <v>-4.345666797115566E-3</v>
      </c>
      <c r="F71">
        <f t="shared" si="7"/>
        <v>-2.9341353605966125E-3</v>
      </c>
      <c r="G71">
        <f t="shared" si="7"/>
        <v>2.3926139664287582E-5</v>
      </c>
      <c r="I71" s="5" t="s">
        <v>5</v>
      </c>
      <c r="J71">
        <f>J10-B10</f>
        <v>2.0475397690510877E-3</v>
      </c>
      <c r="K71">
        <f t="shared" ref="K71:O71" si="8">K10-C10</f>
        <v>-1.4192496810595812E-3</v>
      </c>
      <c r="L71">
        <f t="shared" si="8"/>
        <v>6.3892038241610827E-3</v>
      </c>
      <c r="M71">
        <f t="shared" si="8"/>
        <v>-7.3327022240992079E-3</v>
      </c>
      <c r="N71">
        <f t="shared" si="8"/>
        <v>-5.335105189762851E-3</v>
      </c>
      <c r="O71">
        <f t="shared" si="8"/>
        <v>-4.923425732465958E-4</v>
      </c>
    </row>
    <row r="72" spans="1:17" ht="15.6" x14ac:dyDescent="0.3">
      <c r="A72" s="5" t="s">
        <v>6</v>
      </c>
      <c r="B72">
        <f t="shared" ref="B72:B85" si="9">J30-B30</f>
        <v>-3.8332514069025658E-2</v>
      </c>
      <c r="C72">
        <f t="shared" ref="C72:C85" si="10">K30-C30</f>
        <v>-0.17139716569287988</v>
      </c>
      <c r="D72">
        <f t="shared" ref="D72:D85" si="11">L30-D30</f>
        <v>4.0951650740167378E-2</v>
      </c>
      <c r="E72">
        <f t="shared" ref="E72:E85" si="12">M30-E30</f>
        <v>7.5774151580911275E-3</v>
      </c>
      <c r="F72">
        <f t="shared" ref="F72:F85" si="13">N30-F30</f>
        <v>5.0094024851863095E-2</v>
      </c>
      <c r="G72">
        <f t="shared" ref="G72:G85" si="14">O30-G30</f>
        <v>-4.6438275625008574E-2</v>
      </c>
      <c r="I72" s="5" t="s">
        <v>6</v>
      </c>
      <c r="J72">
        <f t="shared" ref="J72:J85" si="15">J11-B11</f>
        <v>-7.4541374557797357E-2</v>
      </c>
      <c r="K72">
        <f t="shared" ref="K72:K85" si="16">K11-C11</f>
        <v>-0.15231713568935779</v>
      </c>
      <c r="L72">
        <f t="shared" ref="L72:L85" si="17">L11-D11</f>
        <v>3.7612599425757232E-2</v>
      </c>
      <c r="M72">
        <f t="shared" ref="M72:M85" si="18">M11-E11</f>
        <v>-6.6620984139140749E-3</v>
      </c>
      <c r="N72">
        <f t="shared" ref="N72:N85" si="19">N11-F11</f>
        <v>-5.9053384461654534E-2</v>
      </c>
      <c r="O72">
        <f t="shared" ref="O72:O84" si="20">O11-G11</f>
        <v>-0.1537482854954455</v>
      </c>
    </row>
    <row r="73" spans="1:17" ht="15.6" x14ac:dyDescent="0.3">
      <c r="A73" s="5" t="s">
        <v>7</v>
      </c>
      <c r="B73">
        <f t="shared" si="9"/>
        <v>-4.5109356691514613E-2</v>
      </c>
      <c r="C73">
        <f t="shared" si="10"/>
        <v>0</v>
      </c>
      <c r="D73">
        <f t="shared" si="11"/>
        <v>-1.3395135538916469E-2</v>
      </c>
      <c r="E73">
        <f t="shared" si="12"/>
        <v>-0.10505170297604671</v>
      </c>
      <c r="F73">
        <f t="shared" si="13"/>
        <v>-9.334004507079996E-4</v>
      </c>
      <c r="G73">
        <f t="shared" si="14"/>
        <v>-2.3184102144684138E-2</v>
      </c>
      <c r="I73" s="5" t="s">
        <v>7</v>
      </c>
      <c r="J73">
        <f t="shared" si="15"/>
        <v>-5.6710665799990512E-3</v>
      </c>
      <c r="K73">
        <f t="shared" si="16"/>
        <v>0</v>
      </c>
      <c r="L73">
        <f t="shared" si="17"/>
        <v>-8.082268205505172E-3</v>
      </c>
      <c r="M73">
        <f t="shared" si="18"/>
        <v>-2.1822961632122828E-2</v>
      </c>
      <c r="N73">
        <f t="shared" si="19"/>
        <v>4.5012177288923372E-3</v>
      </c>
      <c r="O73">
        <f t="shared" si="20"/>
        <v>-1.2821108047496033E-3</v>
      </c>
    </row>
    <row r="74" spans="1:17" ht="15.6" x14ac:dyDescent="0.3">
      <c r="A74" s="5" t="s">
        <v>60</v>
      </c>
      <c r="B74">
        <f t="shared" si="9"/>
        <v>-8.8978945956467714E-2</v>
      </c>
      <c r="C74">
        <f t="shared" si="10"/>
        <v>-0.12427463792179683</v>
      </c>
      <c r="D74">
        <f t="shared" si="11"/>
        <v>1.5518742535237995E-2</v>
      </c>
      <c r="E74">
        <f t="shared" si="12"/>
        <v>0.10992523664736242</v>
      </c>
      <c r="F74">
        <f t="shared" si="13"/>
        <v>-6.000303023084208E-2</v>
      </c>
      <c r="G74">
        <f t="shared" si="14"/>
        <v>1.9950217119312191E-2</v>
      </c>
      <c r="I74" s="5" t="s">
        <v>60</v>
      </c>
      <c r="J74">
        <f t="shared" si="15"/>
        <v>-6.912166777208717E-2</v>
      </c>
      <c r="K74">
        <f t="shared" si="16"/>
        <v>-9.8629458397534231E-2</v>
      </c>
      <c r="L74">
        <f t="shared" si="17"/>
        <v>1.8480168160391774E-2</v>
      </c>
      <c r="M74">
        <f t="shared" si="18"/>
        <v>9.6694818987952846E-2</v>
      </c>
      <c r="N74">
        <f t="shared" si="19"/>
        <v>-4.4899579656003108E-2</v>
      </c>
      <c r="O74">
        <f t="shared" si="20"/>
        <v>2.1696214961026611E-2</v>
      </c>
    </row>
    <row r="75" spans="1:17" ht="15.6" x14ac:dyDescent="0.3">
      <c r="A75" s="5" t="s">
        <v>8</v>
      </c>
      <c r="B75">
        <f t="shared" si="9"/>
        <v>-2.7304254635726055E-2</v>
      </c>
      <c r="C75">
        <f t="shared" si="10"/>
        <v>-1.3004653150536616E-2</v>
      </c>
      <c r="D75">
        <f t="shared" si="11"/>
        <v>0</v>
      </c>
      <c r="E75">
        <f t="shared" si="12"/>
        <v>2.5147220363727629E-4</v>
      </c>
      <c r="F75">
        <f t="shared" si="13"/>
        <v>-3.5644405876978286E-2</v>
      </c>
      <c r="G75">
        <f t="shared" si="14"/>
        <v>1.9665865915453662E-2</v>
      </c>
      <c r="I75" s="5" t="s">
        <v>8</v>
      </c>
      <c r="J75">
        <f t="shared" si="15"/>
        <v>-2.7123989560988215E-2</v>
      </c>
      <c r="K75">
        <f t="shared" si="16"/>
        <v>-1.7549120749705382E-2</v>
      </c>
      <c r="L75">
        <f t="shared" si="17"/>
        <v>0</v>
      </c>
      <c r="M75">
        <f t="shared" si="18"/>
        <v>9.9961900878339227E-3</v>
      </c>
      <c r="N75">
        <f t="shared" si="19"/>
        <v>-3.8014882747486434E-2</v>
      </c>
      <c r="O75">
        <f t="shared" si="20"/>
        <v>2.146712866152034E-2</v>
      </c>
    </row>
    <row r="76" spans="1:17" ht="15.6" x14ac:dyDescent="0.3">
      <c r="A76" s="5" t="s">
        <v>9</v>
      </c>
      <c r="B76">
        <f t="shared" si="9"/>
        <v>7.9134648053133194E-2</v>
      </c>
      <c r="C76">
        <f t="shared" si="10"/>
        <v>-8.27086786026765E-3</v>
      </c>
      <c r="D76">
        <f t="shared" si="11"/>
        <v>-0.14971397861807878</v>
      </c>
      <c r="E76">
        <f t="shared" si="12"/>
        <v>0</v>
      </c>
      <c r="F76">
        <f t="shared" si="13"/>
        <v>1.5317364270478695E-2</v>
      </c>
      <c r="G76">
        <f t="shared" si="14"/>
        <v>-8.0508342179871351E-2</v>
      </c>
      <c r="I76" s="5" t="s">
        <v>9</v>
      </c>
      <c r="J76">
        <f t="shared" si="15"/>
        <v>6.8325288743329882E-2</v>
      </c>
      <c r="K76">
        <f t="shared" si="16"/>
        <v>-1.1122463927526693E-2</v>
      </c>
      <c r="L76">
        <f t="shared" si="17"/>
        <v>-0.22712525400711114</v>
      </c>
      <c r="M76">
        <f t="shared" si="18"/>
        <v>0</v>
      </c>
      <c r="N76">
        <f t="shared" si="19"/>
        <v>1.8075208368471429E-2</v>
      </c>
      <c r="O76">
        <f t="shared" si="20"/>
        <v>-0.12301301821393695</v>
      </c>
    </row>
    <row r="77" spans="1:17" ht="15.6" x14ac:dyDescent="0.3">
      <c r="A77" s="5" t="s">
        <v>10</v>
      </c>
      <c r="B77">
        <f t="shared" si="9"/>
        <v>3.2209997659989886E-3</v>
      </c>
      <c r="C77">
        <f t="shared" si="10"/>
        <v>-1.6506831732892913E-2</v>
      </c>
      <c r="D77">
        <f t="shared" si="11"/>
        <v>-8.1180778606637638E-4</v>
      </c>
      <c r="E77">
        <f t="shared" si="12"/>
        <v>-9.7156974400074425E-3</v>
      </c>
      <c r="F77">
        <f t="shared" si="13"/>
        <v>0</v>
      </c>
      <c r="G77">
        <f t="shared" si="14"/>
        <v>1.4709227581891748E-2</v>
      </c>
      <c r="I77" s="5" t="s">
        <v>10</v>
      </c>
      <c r="J77">
        <f t="shared" si="15"/>
        <v>6.7679795456087044E-3</v>
      </c>
      <c r="K77">
        <f t="shared" si="16"/>
        <v>-2.039338740930241E-2</v>
      </c>
      <c r="L77">
        <f t="shared" si="17"/>
        <v>4.1744091243846593E-3</v>
      </c>
      <c r="M77">
        <f t="shared" si="18"/>
        <v>-2.5388437654165763E-3</v>
      </c>
      <c r="N77">
        <f t="shared" si="19"/>
        <v>0</v>
      </c>
      <c r="O77">
        <f t="shared" si="20"/>
        <v>1.943964885960825E-2</v>
      </c>
    </row>
    <row r="78" spans="1:17" ht="15.6" x14ac:dyDescent="0.3">
      <c r="A78" s="5" t="s">
        <v>11</v>
      </c>
      <c r="B78">
        <f t="shared" si="9"/>
        <v>-2.1765841725617241E-2</v>
      </c>
      <c r="C78">
        <f t="shared" si="10"/>
        <v>-4.6219120080219389E-2</v>
      </c>
      <c r="D78">
        <f t="shared" si="11"/>
        <v>2.2195995241158006E-2</v>
      </c>
      <c r="E78">
        <f t="shared" si="12"/>
        <v>2.0081548979042851E-2</v>
      </c>
      <c r="F78">
        <f t="shared" si="13"/>
        <v>2.8759869880112809E-3</v>
      </c>
      <c r="G78">
        <f t="shared" si="14"/>
        <v>4.1715452585913415E-3</v>
      </c>
      <c r="I78" s="5" t="s">
        <v>11</v>
      </c>
      <c r="J78">
        <f t="shared" si="15"/>
        <v>2.1921034723130228E-3</v>
      </c>
      <c r="K78">
        <f t="shared" si="16"/>
        <v>-5.825685957002058E-3</v>
      </c>
      <c r="L78">
        <f t="shared" si="17"/>
        <v>1.4999632128078311E-2</v>
      </c>
      <c r="M78">
        <f t="shared" si="18"/>
        <v>9.5716731507369257E-3</v>
      </c>
      <c r="N78">
        <f t="shared" si="19"/>
        <v>1.5458571580967972E-2</v>
      </c>
      <c r="O78">
        <f t="shared" si="20"/>
        <v>7.8272105788352864E-3</v>
      </c>
    </row>
    <row r="79" spans="1:17" ht="15.6" x14ac:dyDescent="0.3">
      <c r="A79" s="5" t="s">
        <v>12</v>
      </c>
      <c r="B79">
        <f t="shared" si="9"/>
        <v>-6.050387412948055E-5</v>
      </c>
      <c r="C79">
        <f t="shared" si="10"/>
        <v>-2.9018577700172965E-2</v>
      </c>
      <c r="D79">
        <f t="shared" si="11"/>
        <v>7.3705946666020594E-3</v>
      </c>
      <c r="E79">
        <f t="shared" si="12"/>
        <v>-4.7681013411694229E-3</v>
      </c>
      <c r="F79">
        <f t="shared" si="13"/>
        <v>-1.5307610914812697E-2</v>
      </c>
      <c r="G79">
        <f t="shared" si="14"/>
        <v>-1.0737199927981611E-2</v>
      </c>
      <c r="I79" s="5" t="s">
        <v>12</v>
      </c>
      <c r="J79">
        <f t="shared" si="15"/>
        <v>3.8902924760615409E-3</v>
      </c>
      <c r="K79">
        <f t="shared" si="16"/>
        <v>-1.1995456006186567E-2</v>
      </c>
      <c r="L79">
        <f t="shared" si="17"/>
        <v>3.5927824007334408E-2</v>
      </c>
      <c r="M79">
        <f t="shared" si="18"/>
        <v>-1.8010681018759633E-2</v>
      </c>
      <c r="N79">
        <f t="shared" si="19"/>
        <v>-1.2666839284528164E-2</v>
      </c>
      <c r="O79">
        <f t="shared" si="20"/>
        <v>9.4271164121504381E-3</v>
      </c>
    </row>
    <row r="80" spans="1:17" ht="15.6" x14ac:dyDescent="0.3">
      <c r="A80" s="5" t="s">
        <v>61</v>
      </c>
      <c r="B80">
        <f t="shared" si="9"/>
        <v>7.3621107158039489E-3</v>
      </c>
      <c r="C80">
        <f t="shared" si="10"/>
        <v>-3.6234167855263566E-3</v>
      </c>
      <c r="D80">
        <f t="shared" si="11"/>
        <v>-4.3307289860272657E-4</v>
      </c>
      <c r="E80">
        <f t="shared" si="12"/>
        <v>1.1143620807610832E-2</v>
      </c>
      <c r="F80">
        <f t="shared" si="13"/>
        <v>2.5883140659210935E-2</v>
      </c>
      <c r="G80">
        <f t="shared" si="14"/>
        <v>1.1371718757282601E-2</v>
      </c>
      <c r="I80" s="5" t="s">
        <v>61</v>
      </c>
      <c r="J80">
        <f t="shared" si="15"/>
        <v>-8.4186800898979008E-2</v>
      </c>
      <c r="K80">
        <f t="shared" si="16"/>
        <v>1.6133226326477845E-2</v>
      </c>
      <c r="L80">
        <f t="shared" si="17"/>
        <v>6.2768972682610669E-2</v>
      </c>
      <c r="M80">
        <f t="shared" si="18"/>
        <v>1.6852650758376914E-2</v>
      </c>
      <c r="N80">
        <f t="shared" si="19"/>
        <v>3.9412123662079024E-2</v>
      </c>
      <c r="O80">
        <f t="shared" si="20"/>
        <v>1.8627079216765763E-2</v>
      </c>
    </row>
    <row r="81" spans="1:15" ht="15.6" x14ac:dyDescent="0.3">
      <c r="A81" s="5" t="s">
        <v>13</v>
      </c>
      <c r="B81">
        <f t="shared" si="9"/>
        <v>2.5584267117076953E-3</v>
      </c>
      <c r="C81">
        <f t="shared" si="10"/>
        <v>-6.0357494680901569E-2</v>
      </c>
      <c r="D81">
        <f t="shared" si="11"/>
        <v>-1.7705678440415595E-3</v>
      </c>
      <c r="E81">
        <f t="shared" si="12"/>
        <v>-2.3645558265588812E-2</v>
      </c>
      <c r="F81">
        <f t="shared" si="13"/>
        <v>4.1012053605156751E-2</v>
      </c>
      <c r="G81">
        <f t="shared" si="14"/>
        <v>-3.3649779088602283E-3</v>
      </c>
      <c r="I81" s="5" t="s">
        <v>13</v>
      </c>
      <c r="J81">
        <f t="shared" si="15"/>
        <v>-5.9308158586901527E-5</v>
      </c>
      <c r="K81">
        <f t="shared" si="16"/>
        <v>-5.8670884570739545E-3</v>
      </c>
      <c r="L81">
        <f t="shared" si="17"/>
        <v>-2.3493302092483237E-3</v>
      </c>
      <c r="M81">
        <f t="shared" si="18"/>
        <v>-7.8204450217222721E-3</v>
      </c>
      <c r="N81">
        <f t="shared" si="19"/>
        <v>-9.5857368069661442E-3</v>
      </c>
      <c r="O81">
        <f t="shared" si="20"/>
        <v>-3.3058635896782707E-3</v>
      </c>
    </row>
    <row r="82" spans="1:15" ht="15.6" x14ac:dyDescent="0.3">
      <c r="A82" s="5" t="s">
        <v>62</v>
      </c>
      <c r="B82">
        <f t="shared" si="9"/>
        <v>-8.1147344679862732E-3</v>
      </c>
      <c r="C82">
        <f t="shared" si="10"/>
        <v>5.3702231958774049E-3</v>
      </c>
      <c r="D82">
        <f t="shared" si="11"/>
        <v>5.1965834850485337E-3</v>
      </c>
      <c r="E82">
        <f t="shared" si="12"/>
        <v>-1.0065665367779308E-2</v>
      </c>
      <c r="F82">
        <f t="shared" si="13"/>
        <v>-3.0261645846032525E-3</v>
      </c>
      <c r="G82">
        <f t="shared" si="14"/>
        <v>1.9449782414608152E-2</v>
      </c>
      <c r="I82" s="5" t="s">
        <v>62</v>
      </c>
      <c r="J82">
        <f t="shared" si="15"/>
        <v>1.688665261901473E-2</v>
      </c>
      <c r="K82">
        <f t="shared" si="16"/>
        <v>-7.7453883500469667E-2</v>
      </c>
      <c r="L82">
        <f t="shared" si="17"/>
        <v>8.4632642363824395E-4</v>
      </c>
      <c r="M82">
        <f t="shared" si="18"/>
        <v>2.4614546602264864E-2</v>
      </c>
      <c r="N82">
        <f t="shared" si="19"/>
        <v>-1.6160024812747642E-2</v>
      </c>
      <c r="O82">
        <f t="shared" si="20"/>
        <v>-1.9363964115644006E-3</v>
      </c>
    </row>
    <row r="83" spans="1:15" ht="15.6" x14ac:dyDescent="0.3">
      <c r="A83" s="5" t="s">
        <v>14</v>
      </c>
      <c r="B83">
        <f t="shared" si="9"/>
        <v>-7.1411672131897919E-2</v>
      </c>
      <c r="C83">
        <f t="shared" si="10"/>
        <v>2.9889819914901583E-2</v>
      </c>
      <c r="D83">
        <f t="shared" si="11"/>
        <v>7.9852170868354944E-2</v>
      </c>
      <c r="E83">
        <f t="shared" si="12"/>
        <v>-4.8495796299286353E-2</v>
      </c>
      <c r="F83">
        <f t="shared" si="13"/>
        <v>-3.9614602217477868E-2</v>
      </c>
      <c r="G83">
        <f t="shared" si="14"/>
        <v>-6.6967199342118588E-2</v>
      </c>
      <c r="I83" s="5" t="s">
        <v>14</v>
      </c>
      <c r="J83">
        <f t="shared" si="15"/>
        <v>-4.4317444994369071E-2</v>
      </c>
      <c r="K83">
        <f t="shared" si="16"/>
        <v>3.8045509931466492E-2</v>
      </c>
      <c r="L83">
        <f t="shared" si="17"/>
        <v>5.1315152543949805E-2</v>
      </c>
      <c r="M83">
        <f t="shared" si="18"/>
        <v>-2.0681707888412615E-2</v>
      </c>
      <c r="N83">
        <f t="shared" si="19"/>
        <v>7.8825797810073706E-3</v>
      </c>
      <c r="O83">
        <f t="shared" si="20"/>
        <v>-7.9545330529823766E-2</v>
      </c>
    </row>
    <row r="84" spans="1:15" ht="15.6" x14ac:dyDescent="0.3">
      <c r="A84" s="5" t="s">
        <v>15</v>
      </c>
      <c r="B84">
        <f t="shared" si="9"/>
        <v>-2.2479319747509274E-3</v>
      </c>
      <c r="C84">
        <f t="shared" si="10"/>
        <v>-1.7519078522110654E-2</v>
      </c>
      <c r="D84">
        <f t="shared" si="11"/>
        <v>3.591913192756091E-2</v>
      </c>
      <c r="E84">
        <f t="shared" si="12"/>
        <v>-4.8859037118775706E-2</v>
      </c>
      <c r="F84">
        <f t="shared" si="13"/>
        <v>-1.1889035699119699E-3</v>
      </c>
      <c r="G84">
        <f t="shared" si="14"/>
        <v>-3.758830416644332E-2</v>
      </c>
      <c r="I84" s="5" t="s">
        <v>15</v>
      </c>
      <c r="J84">
        <f t="shared" si="15"/>
        <v>2.3356183881600989E-3</v>
      </c>
      <c r="K84">
        <f t="shared" si="16"/>
        <v>-8.1944882301128175E-3</v>
      </c>
      <c r="L84">
        <f t="shared" si="17"/>
        <v>2.2761056292187165E-2</v>
      </c>
      <c r="M84">
        <f t="shared" si="18"/>
        <v>-4.1992013933157102E-2</v>
      </c>
      <c r="N84">
        <f t="shared" si="19"/>
        <v>1.1936485676198316E-3</v>
      </c>
      <c r="O84">
        <f t="shared" si="20"/>
        <v>-2.9058089832057987E-2</v>
      </c>
    </row>
    <row r="85" spans="1:15" ht="15.6" x14ac:dyDescent="0.3">
      <c r="A85" s="5" t="s">
        <v>16</v>
      </c>
      <c r="B85">
        <f t="shared" si="9"/>
        <v>1.2120099981650867E-2</v>
      </c>
      <c r="C85">
        <f t="shared" si="10"/>
        <v>2.8803460199867681E-3</v>
      </c>
      <c r="D85">
        <f t="shared" si="11"/>
        <v>-5.608145182552704E-3</v>
      </c>
      <c r="E85">
        <f t="shared" si="12"/>
        <v>-5.9899353993859705E-3</v>
      </c>
      <c r="F85">
        <f t="shared" si="13"/>
        <v>-4.6567475496175903E-3</v>
      </c>
      <c r="G85">
        <f t="shared" si="14"/>
        <v>0</v>
      </c>
      <c r="I85" s="5" t="s">
        <v>16</v>
      </c>
      <c r="J85">
        <f t="shared" si="15"/>
        <v>1.4095200037753219E-2</v>
      </c>
      <c r="K85">
        <f t="shared" si="16"/>
        <v>4.0282434576949244E-3</v>
      </c>
      <c r="L85">
        <f t="shared" si="17"/>
        <v>-7.2573041651080583E-3</v>
      </c>
      <c r="M85">
        <f t="shared" si="18"/>
        <v>-8.1374298382739241E-3</v>
      </c>
      <c r="N85">
        <f t="shared" si="19"/>
        <v>-5.9806010721581981E-3</v>
      </c>
      <c r="O85">
        <f>O24-G24</f>
        <v>0</v>
      </c>
    </row>
    <row r="86" spans="1:15" x14ac:dyDescent="0.3">
      <c r="A86" s="1"/>
      <c r="I86" s="1"/>
    </row>
    <row r="88" spans="1:15" x14ac:dyDescent="0.3">
      <c r="A88" s="18" t="s">
        <v>24</v>
      </c>
      <c r="B88" s="18"/>
      <c r="C88" s="18"/>
      <c r="D88" s="18"/>
      <c r="E88" s="18"/>
      <c r="F88" s="18"/>
      <c r="G88" s="18"/>
      <c r="I88" s="18" t="s">
        <v>24</v>
      </c>
      <c r="J88" s="18"/>
      <c r="K88" s="18"/>
      <c r="L88" s="18"/>
      <c r="M88" s="18"/>
      <c r="N88" s="18"/>
      <c r="O88" s="18"/>
    </row>
    <row r="89" spans="1:15" x14ac:dyDescent="0.3">
      <c r="A89" s="1" t="s">
        <v>36</v>
      </c>
      <c r="B89" t="s">
        <v>58</v>
      </c>
      <c r="C89" t="s">
        <v>37</v>
      </c>
      <c r="D89" t="s">
        <v>40</v>
      </c>
      <c r="E89" t="s">
        <v>41</v>
      </c>
      <c r="F89" t="s">
        <v>38</v>
      </c>
      <c r="G89" t="s">
        <v>39</v>
      </c>
      <c r="I89" s="1" t="s">
        <v>36</v>
      </c>
      <c r="J89" t="s">
        <v>58</v>
      </c>
      <c r="K89" t="s">
        <v>37</v>
      </c>
      <c r="L89" t="s">
        <v>40</v>
      </c>
      <c r="M89" t="s">
        <v>41</v>
      </c>
      <c r="N89" t="s">
        <v>38</v>
      </c>
      <c r="O89" t="s">
        <v>39</v>
      </c>
    </row>
    <row r="90" spans="1:15" x14ac:dyDescent="0.3">
      <c r="A90">
        <f>AVERAGE(B71:G86)</f>
        <v>-1.0324480911198589E-2</v>
      </c>
      <c r="B90">
        <f>STDEV(B71:G86)</f>
        <v>4.2205923390983766E-2</v>
      </c>
      <c r="C90">
        <f>MEDIAN(B71:G86)</f>
        <v>-1.4797357069767647E-3</v>
      </c>
      <c r="D90">
        <f>MIN(B71:G86)</f>
        <v>-0.17139716569287988</v>
      </c>
      <c r="E90">
        <f>MAX(B71:G86)</f>
        <v>0.10992523664736242</v>
      </c>
      <c r="F90" cm="1">
        <f t="array" ref="F90">MIN(ABS(B71:G85))</f>
        <v>0</v>
      </c>
      <c r="G90" cm="1">
        <f t="array" ref="G90">MAX(ABS(B71:G86))</f>
        <v>0.17139716569287988</v>
      </c>
      <c r="I90">
        <f>AVERAGE(J71:O86)</f>
        <v>-1.00768786109696E-2</v>
      </c>
      <c r="J90">
        <f>STDEV(J71:O86)</f>
        <v>4.6362494186636426E-2</v>
      </c>
      <c r="K90">
        <f>MEDIAN(J71:O86)</f>
        <v>-8.8722668899809953E-4</v>
      </c>
      <c r="L90">
        <f>MIN(J71:O86)</f>
        <v>-0.22712525400711114</v>
      </c>
      <c r="M90">
        <f>MAX(J71:O86)</f>
        <v>9.6694818987952846E-2</v>
      </c>
      <c r="N90" cm="1">
        <f t="array" ref="N90">MIN(ABS(J71:O85))</f>
        <v>0</v>
      </c>
      <c r="O90" cm="1">
        <f t="array" ref="O90">MAX(ABS(J71:O86))</f>
        <v>0.22712525400711114</v>
      </c>
    </row>
  </sheetData>
  <mergeCells count="12">
    <mergeCell ref="A8:G8"/>
    <mergeCell ref="A27:G27"/>
    <mergeCell ref="I8:O8"/>
    <mergeCell ref="I27:O27"/>
    <mergeCell ref="A88:G88"/>
    <mergeCell ref="I69:O69"/>
    <mergeCell ref="I88:O88"/>
    <mergeCell ref="A46:G46"/>
    <mergeCell ref="I46:O46"/>
    <mergeCell ref="A65:G65"/>
    <mergeCell ref="I65:O65"/>
    <mergeCell ref="A69:G69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7" ma:contentTypeDescription="Create a new document." ma:contentTypeScope="" ma:versionID="b8b27a01019c8f1f5f85cfa193824b14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63af16f05df1fbe665c061d280c7c480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Props1.xml><?xml version="1.0" encoding="utf-8"?>
<ds:datastoreItem xmlns:ds="http://schemas.openxmlformats.org/officeDocument/2006/customXml" ds:itemID="{8D86A451-E88F-4AAB-A956-7F6F555EE9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07013-1949-460D-8B23-A89C54AA7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FA2A50-E890-4E3A-83BB-3BB40B247E64}">
  <ds:schemaRefs>
    <ds:schemaRef ds:uri="http://www.w3.org/XML/1998/namespace"/>
    <ds:schemaRef ds:uri="http://schemas.openxmlformats.org/package/2006/metadata/core-properties"/>
    <ds:schemaRef ds:uri="070f1269-45c1-4463-99ba-5dc4e57c7dff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7bf50b4b-6300-445a-aea1-306a229159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Optimized Production Rates</vt:lpstr>
      <vt:lpstr>Dif corrected vs original no mi</vt:lpstr>
      <vt:lpstr>Optimized B Values</vt:lpstr>
      <vt:lpstr>Optimized Weights</vt:lpstr>
      <vt:lpstr>Optimization 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2023-12-06T03:54:59Z</dcterms:created>
  <dcterms:modified xsi:type="dcterms:W3CDTF">2026-04-23T03:02:13Z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