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4400" yWindow="0" windowWidth="14400" windowHeight="15600" tabRatio="845" firstSheet="1" activeTab="1"/>
  </bookViews>
  <sheets>
    <sheet name="compare no const with Pb const" sheetId="27" r:id="rId1"/>
    <sheet name="B constant" sheetId="1" r:id="rId2"/>
    <sheet name="10.23" sheetId="24" r:id="rId3"/>
    <sheet name="10.22" sheetId="23" r:id="rId4"/>
    <sheet name="10.21" sheetId="22" r:id="rId5"/>
    <sheet name="10.20" sheetId="21" r:id="rId6"/>
    <sheet name="10.19" sheetId="20" r:id="rId7"/>
    <sheet name="10.18" sheetId="19" r:id="rId8"/>
    <sheet name="10.17" sheetId="18" r:id="rId9"/>
    <sheet name="10.16" sheetId="17" r:id="rId10"/>
    <sheet name="10.15" sheetId="16" r:id="rId11"/>
    <sheet name="10.14" sheetId="15" r:id="rId12"/>
    <sheet name="10.13" sheetId="14" r:id="rId13"/>
    <sheet name="10.12" sheetId="13" r:id="rId14"/>
    <sheet name="10.11" sheetId="9" r:id="rId15"/>
    <sheet name="10.10" sheetId="25" r:id="rId16"/>
    <sheet name="10.9" sheetId="10" r:id="rId17"/>
    <sheet name="10.8" sheetId="12" r:id="rId18"/>
    <sheet name="10.7" sheetId="8" r:id="rId19"/>
    <sheet name="10.6" sheetId="7" r:id="rId20"/>
    <sheet name="10.5" sheetId="6" r:id="rId21"/>
    <sheet name="10.4" sheetId="5" r:id="rId22"/>
    <sheet name="10.3" sheetId="4" r:id="rId23"/>
    <sheet name="10.2" sheetId="3" r:id="rId24"/>
    <sheet name="10.1" sheetId="2" r:id="rId25"/>
    <sheet name="10.0" sheetId="26" r:id="rId26"/>
  </sheets>
  <definedNames>
    <definedName name="_xlnm.Print_Area" localSheetId="1">'B constant'!$E$1:$G$27</definedName>
  </definedNames>
  <calcPr calcId="145621"/>
</workbook>
</file>

<file path=xl/calcChain.xml><?xml version="1.0" encoding="utf-8"?>
<calcChain xmlns="http://schemas.openxmlformats.org/spreadsheetml/2006/main">
  <c r="F3" i="1" l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G2" i="1"/>
  <c r="F2" i="1"/>
  <c r="P27" i="27" l="1"/>
  <c r="O27" i="27"/>
  <c r="P26" i="27"/>
  <c r="O26" i="27"/>
  <c r="F27" i="1" l="1"/>
  <c r="F26" i="1"/>
  <c r="B27" i="1" l="1"/>
  <c r="B26" i="1"/>
  <c r="G15" i="26"/>
  <c r="F15" i="26"/>
  <c r="E15" i="26"/>
  <c r="G14" i="26"/>
  <c r="F14" i="26"/>
  <c r="E14" i="26"/>
  <c r="G13" i="26"/>
  <c r="F13" i="26"/>
  <c r="E13" i="26"/>
  <c r="G15" i="15"/>
  <c r="F15" i="15"/>
  <c r="E15" i="15"/>
  <c r="G14" i="15"/>
  <c r="F14" i="15"/>
  <c r="E14" i="15"/>
  <c r="G13" i="15"/>
  <c r="F13" i="15"/>
  <c r="E13" i="15"/>
  <c r="G15" i="25"/>
  <c r="F15" i="25"/>
  <c r="E15" i="25"/>
  <c r="G14" i="25"/>
  <c r="F14" i="25"/>
  <c r="E14" i="25"/>
  <c r="G13" i="25"/>
  <c r="F13" i="25"/>
  <c r="E13" i="25"/>
  <c r="G15" i="24"/>
  <c r="F15" i="24"/>
  <c r="E15" i="24"/>
  <c r="G14" i="24"/>
  <c r="F14" i="24"/>
  <c r="E14" i="24"/>
  <c r="G13" i="24"/>
  <c r="F13" i="24"/>
  <c r="E13" i="24"/>
  <c r="G15" i="23"/>
  <c r="F15" i="23"/>
  <c r="E15" i="23"/>
  <c r="G14" i="23"/>
  <c r="F14" i="23"/>
  <c r="E14" i="23"/>
  <c r="G13" i="23"/>
  <c r="F13" i="23"/>
  <c r="E13" i="23"/>
  <c r="G15" i="22"/>
  <c r="F15" i="22"/>
  <c r="E15" i="22"/>
  <c r="G14" i="22"/>
  <c r="F14" i="22"/>
  <c r="E14" i="22"/>
  <c r="G13" i="22"/>
  <c r="F13" i="22"/>
  <c r="E13" i="22"/>
  <c r="G15" i="21"/>
  <c r="F15" i="21"/>
  <c r="E15" i="21"/>
  <c r="G14" i="21"/>
  <c r="F14" i="21"/>
  <c r="E14" i="21"/>
  <c r="G13" i="21"/>
  <c r="F13" i="21"/>
  <c r="E13" i="21"/>
  <c r="G15" i="20"/>
  <c r="F15" i="20"/>
  <c r="E15" i="20"/>
  <c r="G14" i="20"/>
  <c r="F14" i="20"/>
  <c r="E14" i="20"/>
  <c r="G13" i="20"/>
  <c r="F13" i="20"/>
  <c r="E13" i="20"/>
  <c r="G15" i="19"/>
  <c r="F15" i="19"/>
  <c r="E15" i="19"/>
  <c r="G14" i="19"/>
  <c r="F14" i="19"/>
  <c r="E14" i="19"/>
  <c r="G13" i="19"/>
  <c r="F13" i="19"/>
  <c r="E13" i="19"/>
  <c r="G15" i="18"/>
  <c r="F15" i="18"/>
  <c r="E15" i="18"/>
  <c r="G14" i="18"/>
  <c r="F14" i="18"/>
  <c r="E14" i="18"/>
  <c r="G13" i="18"/>
  <c r="F13" i="18"/>
  <c r="E13" i="18"/>
  <c r="E17" i="18" s="1"/>
  <c r="G15" i="17"/>
  <c r="F15" i="17"/>
  <c r="E15" i="17"/>
  <c r="G14" i="17"/>
  <c r="F14" i="17"/>
  <c r="E14" i="17"/>
  <c r="G13" i="17"/>
  <c r="F13" i="17"/>
  <c r="E13" i="17"/>
  <c r="G15" i="16"/>
  <c r="F15" i="16"/>
  <c r="E15" i="16"/>
  <c r="G14" i="16"/>
  <c r="F14" i="16"/>
  <c r="E14" i="16"/>
  <c r="G13" i="16"/>
  <c r="F13" i="16"/>
  <c r="E13" i="16"/>
  <c r="G15" i="14"/>
  <c r="F15" i="14"/>
  <c r="E15" i="14"/>
  <c r="G14" i="14"/>
  <c r="F14" i="14"/>
  <c r="E14" i="14"/>
  <c r="G13" i="14"/>
  <c r="F13" i="14"/>
  <c r="E13" i="14"/>
  <c r="G15" i="13"/>
  <c r="F15" i="13"/>
  <c r="E15" i="13"/>
  <c r="G14" i="13"/>
  <c r="F14" i="13"/>
  <c r="E14" i="13"/>
  <c r="G13" i="13"/>
  <c r="F13" i="13"/>
  <c r="E13" i="13"/>
  <c r="G15" i="12"/>
  <c r="F15" i="12"/>
  <c r="E15" i="12"/>
  <c r="G14" i="12"/>
  <c r="F14" i="12"/>
  <c r="E14" i="12"/>
  <c r="G13" i="12"/>
  <c r="F13" i="12"/>
  <c r="E13" i="12"/>
  <c r="G15" i="10"/>
  <c r="F15" i="10"/>
  <c r="E15" i="10"/>
  <c r="G14" i="10"/>
  <c r="F14" i="10"/>
  <c r="E14" i="10"/>
  <c r="G13" i="10"/>
  <c r="F13" i="10"/>
  <c r="E13" i="10"/>
  <c r="G15" i="9"/>
  <c r="F15" i="9"/>
  <c r="E15" i="9"/>
  <c r="G14" i="9"/>
  <c r="F14" i="9"/>
  <c r="E14" i="9"/>
  <c r="G13" i="9"/>
  <c r="F13" i="9"/>
  <c r="E13" i="9"/>
  <c r="E17" i="9" s="1"/>
  <c r="G15" i="8"/>
  <c r="F15" i="8"/>
  <c r="E15" i="8"/>
  <c r="G14" i="8"/>
  <c r="F14" i="8"/>
  <c r="E14" i="8"/>
  <c r="G13" i="8"/>
  <c r="F13" i="8"/>
  <c r="E13" i="8"/>
  <c r="E17" i="8" s="1"/>
  <c r="G15" i="7"/>
  <c r="F15" i="7"/>
  <c r="E15" i="7"/>
  <c r="G14" i="7"/>
  <c r="F14" i="7"/>
  <c r="E14" i="7"/>
  <c r="G13" i="7"/>
  <c r="F13" i="7"/>
  <c r="E13" i="7"/>
  <c r="G15" i="6"/>
  <c r="F15" i="6"/>
  <c r="E15" i="6"/>
  <c r="G14" i="6"/>
  <c r="F14" i="6"/>
  <c r="E14" i="6"/>
  <c r="G13" i="6"/>
  <c r="F13" i="6"/>
  <c r="E13" i="6"/>
  <c r="G15" i="5"/>
  <c r="F15" i="5"/>
  <c r="E15" i="5"/>
  <c r="G14" i="5"/>
  <c r="F14" i="5"/>
  <c r="E14" i="5"/>
  <c r="G13" i="5"/>
  <c r="F13" i="5"/>
  <c r="E13" i="5"/>
  <c r="G15" i="4"/>
  <c r="F15" i="4"/>
  <c r="E15" i="4"/>
  <c r="G14" i="4"/>
  <c r="F14" i="4"/>
  <c r="E14" i="4"/>
  <c r="G13" i="4"/>
  <c r="F13" i="4"/>
  <c r="E13" i="4"/>
  <c r="G15" i="3"/>
  <c r="F15" i="3"/>
  <c r="E15" i="3"/>
  <c r="G14" i="3"/>
  <c r="F14" i="3"/>
  <c r="E14" i="3"/>
  <c r="G13" i="3"/>
  <c r="F13" i="3"/>
  <c r="E13" i="3"/>
  <c r="E14" i="2"/>
  <c r="F14" i="2"/>
  <c r="G14" i="2"/>
  <c r="E15" i="2"/>
  <c r="F15" i="2"/>
  <c r="G15" i="2"/>
  <c r="F13" i="2"/>
  <c r="G13" i="2"/>
  <c r="E13" i="2"/>
  <c r="E17" i="25" l="1"/>
  <c r="E17" i="6"/>
  <c r="E17" i="15"/>
  <c r="E17" i="26"/>
  <c r="E17" i="24"/>
  <c r="E17" i="23"/>
  <c r="E17" i="22"/>
  <c r="E17" i="19"/>
  <c r="E17" i="17"/>
  <c r="E17" i="16"/>
  <c r="E17" i="14"/>
  <c r="E17" i="13"/>
  <c r="E17" i="10"/>
  <c r="E17" i="7"/>
  <c r="E17" i="5"/>
  <c r="E17" i="4"/>
  <c r="E17" i="2"/>
  <c r="E17" i="21"/>
  <c r="E17" i="20"/>
  <c r="E17" i="12"/>
  <c r="E17" i="3"/>
</calcChain>
</file>

<file path=xl/sharedStrings.xml><?xml version="1.0" encoding="utf-8"?>
<sst xmlns="http://schemas.openxmlformats.org/spreadsheetml/2006/main" count="677" uniqueCount="30">
  <si>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</si>
  <si>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</si>
  <si>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</si>
  <si>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</si>
  <si>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</si>
  <si>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</si>
  <si>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</si>
  <si>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</si>
  <si>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</si>
  <si>
    <t>gene1</t>
  </si>
  <si>
    <t>gene2</t>
  </si>
  <si>
    <t>gene3</t>
  </si>
  <si>
    <t>cols regulators/rows targets</t>
  </si>
  <si>
    <t xml:space="preserve">no </t>
  </si>
  <si>
    <t>Trial</t>
  </si>
  <si>
    <t>Calculated LSE</t>
  </si>
  <si>
    <t>GRNmap LSE</t>
  </si>
  <si>
    <t>Average</t>
  </si>
  <si>
    <t>Sum</t>
  </si>
  <si>
    <t>w1</t>
  </si>
  <si>
    <t>w2</t>
  </si>
  <si>
    <t>w3</t>
  </si>
  <si>
    <t>w4</t>
  </si>
  <si>
    <t>Calculated LSE PB constant</t>
  </si>
  <si>
    <t>Calculated LSE No constant</t>
  </si>
  <si>
    <t>Median</t>
  </si>
  <si>
    <t>B constant</t>
  </si>
  <si>
    <t>b constant</t>
  </si>
  <si>
    <t>b constnt</t>
  </si>
  <si>
    <t>b 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</si>
</sst>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1" fillId="0" borderId="0"/>
    <xf numFmtId="0" fontId="3" fillId="0" borderId="0"/>
  </cellStyleXfs>
  <cellXfs count="14">
    <xf numFmtId="0" fontId="0" fillId="0" borderId="0" xfId="0"/>
    <xf numFmtId="0" fontId="3" fillId="0" borderId="0" xfId="3"/>
    <xf numFmtId="0" fontId="4" fillId="0" borderId="0" xfId="0" applyFont="1"/>
    <xf numFmtId="0" fontId="3" fillId="0" borderId="0" xfId="1"/>
    <xf numFmtId="0" fontId="2" fillId="0" borderId="0" xfId="0" applyFont="1"/>
    <xf numFmtId="0" fontId="4" fillId="0" borderId="0" xfId="3" applyFont="1"/>
    <xf numFmtId="0" fontId="5" fillId="0" borderId="0" xfId="0" applyFont="1"/>
    <xf numFmtId="2" fontId="4" fillId="0" borderId="0" xfId="0" applyNumberFormat="1" applyFont="1"/>
    <xf numFmtId="14" fontId="0" fillId="0" borderId="0" xfId="0" applyNumberFormat="1"/>
    <xf numFmtId="0" fontId="6" fillId="0" borderId="0" xfId="0" applyFont="1"/>
    <xf numFmtId="0" fontId="0" fillId="0" borderId="0" xfId="0"/>
    <xf numFmtId="0" fontId="3" fillId="0" borderId="0" xfId="3"/>
    <xf numFmtId="0" fontId="4" fillId="0" borderId="0" xfId="3" applyFont="1"/>
    <xf numFmtId="0" fontId="0" fillId="0" borderId="0" xfId="0" applyFill="1"/>
  </cellXfs>
  <cellStyles count="4">
    <cellStyle name="Normal" xfId="0" builtinId="0"/>
    <cellStyle name="Normal 2" xfId="3"/>
    <cellStyle name="Normal 3" xfId="2"/>
    <cellStyle name="Normal 4" xfId="1"/>
  </cellStyles>
  <dxfs count="0"/>
  <tableStyles count="0" defaultTableStyle="TableStyleMedium2" defaultPivotStyle="PivotStyleLight16"/>
  <colors>
    <mruColors>
      <color rgb="FF337CB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Pb</a:t>
            </a:r>
            <a:r>
              <a:rPr lang="en-US" baseline="0"/>
              <a:t> const blue, No constant orange, ordered by no const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'compare no const with Pb const'!$A$2:$A$25</c:f>
              <c:numCache>
                <c:formatCode>0.00</c:formatCode>
                <c:ptCount val="24"/>
                <c:pt idx="0">
                  <c:v>10.09</c:v>
                </c:pt>
                <c:pt idx="1">
                  <c:v>10</c:v>
                </c:pt>
                <c:pt idx="2">
                  <c:v>10.210000000000001</c:v>
                </c:pt>
                <c:pt idx="3">
                  <c:v>10.039999999999999</c:v>
                </c:pt>
                <c:pt idx="4">
                  <c:v>10.16</c:v>
                </c:pt>
                <c:pt idx="5">
                  <c:v>10.23</c:v>
                </c:pt>
                <c:pt idx="6">
                  <c:v>10.06</c:v>
                </c:pt>
                <c:pt idx="7">
                  <c:v>10.220000000000001</c:v>
                </c:pt>
                <c:pt idx="8">
                  <c:v>10.07</c:v>
                </c:pt>
                <c:pt idx="9">
                  <c:v>10.199999999999999</c:v>
                </c:pt>
                <c:pt idx="10">
                  <c:v>10.050000000000001</c:v>
                </c:pt>
                <c:pt idx="11">
                  <c:v>10.1</c:v>
                </c:pt>
                <c:pt idx="12">
                  <c:v>10.029999999999999</c:v>
                </c:pt>
                <c:pt idx="13">
                  <c:v>10.15</c:v>
                </c:pt>
                <c:pt idx="14">
                  <c:v>10.01</c:v>
                </c:pt>
                <c:pt idx="15">
                  <c:v>10.18</c:v>
                </c:pt>
                <c:pt idx="16">
                  <c:v>10.08</c:v>
                </c:pt>
                <c:pt idx="17">
                  <c:v>10.14</c:v>
                </c:pt>
                <c:pt idx="18">
                  <c:v>10.130000000000001</c:v>
                </c:pt>
                <c:pt idx="19">
                  <c:v>10.19</c:v>
                </c:pt>
                <c:pt idx="20">
                  <c:v>10.02</c:v>
                </c:pt>
                <c:pt idx="21">
                  <c:v>10.11</c:v>
                </c:pt>
                <c:pt idx="22">
                  <c:v>10.17</c:v>
                </c:pt>
                <c:pt idx="23">
                  <c:v>10.119999999999999</c:v>
                </c:pt>
              </c:numCache>
            </c:numRef>
          </c:cat>
          <c:val>
            <c:numRef>
              <c:f>'compare no const with Pb const'!$B$2:$B$25</c:f>
              <c:numCache>
                <c:formatCode>General</c:formatCode>
                <c:ptCount val="24"/>
                <c:pt idx="0">
                  <c:v>1.6926652361025009E-12</c:v>
                </c:pt>
                <c:pt idx="1">
                  <c:v>1.6926656966503639E-12</c:v>
                </c:pt>
                <c:pt idx="2">
                  <c:v>4.3454341402825142E-10</c:v>
                </c:pt>
                <c:pt idx="3">
                  <c:v>4.3454244253849839E-10</c:v>
                </c:pt>
                <c:pt idx="4">
                  <c:v>2.8576387788761855E-10</c:v>
                </c:pt>
                <c:pt idx="5">
                  <c:v>1.9709669568599738E-11</c:v>
                </c:pt>
                <c:pt idx="6">
                  <c:v>1.970969399339831E-11</c:v>
                </c:pt>
                <c:pt idx="7">
                  <c:v>1.3345818747174865E-9</c:v>
                </c:pt>
                <c:pt idx="8">
                  <c:v>1.3345794402029193E-9</c:v>
                </c:pt>
                <c:pt idx="9">
                  <c:v>9.5642692766258606E-10</c:v>
                </c:pt>
                <c:pt idx="10">
                  <c:v>9.5642100693777928E-10</c:v>
                </c:pt>
                <c:pt idx="11">
                  <c:v>2.6712897918787831E-10</c:v>
                </c:pt>
                <c:pt idx="12">
                  <c:v>2.6712892699645868E-10</c:v>
                </c:pt>
                <c:pt idx="13">
                  <c:v>1.1736281714087789E-11</c:v>
                </c:pt>
                <c:pt idx="14">
                  <c:v>8.4660321724038567E-8</c:v>
                </c:pt>
                <c:pt idx="15">
                  <c:v>1.1736282873632674E-11</c:v>
                </c:pt>
                <c:pt idx="16">
                  <c:v>8.4660276288965343E-8</c:v>
                </c:pt>
                <c:pt idx="17">
                  <c:v>1.4201814238030833E-11</c:v>
                </c:pt>
                <c:pt idx="18">
                  <c:v>2.8576323419504846E-10</c:v>
                </c:pt>
                <c:pt idx="19">
                  <c:v>1.4201804135251729E-11</c:v>
                </c:pt>
                <c:pt idx="20">
                  <c:v>3.7583228418221325E-11</c:v>
                </c:pt>
                <c:pt idx="21">
                  <c:v>3.7583241286728069E-11</c:v>
                </c:pt>
                <c:pt idx="22">
                  <c:v>4.3489576505541156E-10</c:v>
                </c:pt>
                <c:pt idx="23">
                  <c:v>4.3489576767431899E-10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0C-493B-BD1B-5DC68B7D18C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'compare no const with Pb const'!$A$2:$A$25</c:f>
              <c:numCache>
                <c:formatCode>0.00</c:formatCode>
                <c:ptCount val="24"/>
                <c:pt idx="0">
                  <c:v>10.09</c:v>
                </c:pt>
                <c:pt idx="1">
                  <c:v>10</c:v>
                </c:pt>
                <c:pt idx="2">
                  <c:v>10.210000000000001</c:v>
                </c:pt>
                <c:pt idx="3">
                  <c:v>10.039999999999999</c:v>
                </c:pt>
                <c:pt idx="4">
                  <c:v>10.16</c:v>
                </c:pt>
                <c:pt idx="5">
                  <c:v>10.23</c:v>
                </c:pt>
                <c:pt idx="6">
                  <c:v>10.06</c:v>
                </c:pt>
                <c:pt idx="7">
                  <c:v>10.220000000000001</c:v>
                </c:pt>
                <c:pt idx="8">
                  <c:v>10.07</c:v>
                </c:pt>
                <c:pt idx="9">
                  <c:v>10.199999999999999</c:v>
                </c:pt>
                <c:pt idx="10">
                  <c:v>10.050000000000001</c:v>
                </c:pt>
                <c:pt idx="11">
                  <c:v>10.1</c:v>
                </c:pt>
                <c:pt idx="12">
                  <c:v>10.029999999999999</c:v>
                </c:pt>
                <c:pt idx="13">
                  <c:v>10.15</c:v>
                </c:pt>
                <c:pt idx="14">
                  <c:v>10.01</c:v>
                </c:pt>
                <c:pt idx="15">
                  <c:v>10.18</c:v>
                </c:pt>
                <c:pt idx="16">
                  <c:v>10.08</c:v>
                </c:pt>
                <c:pt idx="17">
                  <c:v>10.14</c:v>
                </c:pt>
                <c:pt idx="18">
                  <c:v>10.130000000000001</c:v>
                </c:pt>
                <c:pt idx="19">
                  <c:v>10.19</c:v>
                </c:pt>
                <c:pt idx="20">
                  <c:v>10.02</c:v>
                </c:pt>
                <c:pt idx="21">
                  <c:v>10.11</c:v>
                </c:pt>
                <c:pt idx="22">
                  <c:v>10.17</c:v>
                </c:pt>
                <c:pt idx="23">
                  <c:v>10.119999999999999</c:v>
                </c:pt>
              </c:numCache>
            </c:numRef>
          </c:cat>
          <c:val>
            <c:numRef>
              <c:f>'compare no const with Pb const'!$C$2:$C$25</c:f>
              <c:numCache>
                <c:formatCode>General</c:formatCode>
                <c:ptCount val="24"/>
                <c:pt idx="0">
                  <c:v>2.0562170417729023E-2</c:v>
                </c:pt>
                <c:pt idx="1">
                  <c:v>2.0856817647377221E-2</c:v>
                </c:pt>
                <c:pt idx="2">
                  <c:v>3.2929287994076462E-2</c:v>
                </c:pt>
                <c:pt idx="3">
                  <c:v>3.3081978482554945E-2</c:v>
                </c:pt>
                <c:pt idx="4">
                  <c:v>9.5049947115816019E-2</c:v>
                </c:pt>
                <c:pt idx="5">
                  <c:v>0.15602869518460913</c:v>
                </c:pt>
                <c:pt idx="6">
                  <c:v>0.1839709298575761</c:v>
                </c:pt>
                <c:pt idx="7">
                  <c:v>0.18567770376878062</c:v>
                </c:pt>
                <c:pt idx="8">
                  <c:v>0.34767526589679754</c:v>
                </c:pt>
                <c:pt idx="9">
                  <c:v>1.3650192121558928</c:v>
                </c:pt>
                <c:pt idx="10">
                  <c:v>1.3674552760421317</c:v>
                </c:pt>
                <c:pt idx="11">
                  <c:v>2.1173050660466846</c:v>
                </c:pt>
                <c:pt idx="12">
                  <c:v>2.1252586018534085</c:v>
                </c:pt>
                <c:pt idx="13">
                  <c:v>4.4636454982343245</c:v>
                </c:pt>
                <c:pt idx="14">
                  <c:v>4.4872615070033159</c:v>
                </c:pt>
                <c:pt idx="15">
                  <c:v>4.4960916134772786</c:v>
                </c:pt>
                <c:pt idx="16">
                  <c:v>4.5193042373148611</c:v>
                </c:pt>
                <c:pt idx="17">
                  <c:v>5.0433080027479935</c:v>
                </c:pt>
                <c:pt idx="18">
                  <c:v>5.7879640939116266</c:v>
                </c:pt>
                <c:pt idx="19">
                  <c:v>6.3538134435684022</c:v>
                </c:pt>
                <c:pt idx="20">
                  <c:v>8.8192464336463949</c:v>
                </c:pt>
                <c:pt idx="21">
                  <c:v>13.745057674265974</c:v>
                </c:pt>
                <c:pt idx="22">
                  <c:v>25.278412316001731</c:v>
                </c:pt>
                <c:pt idx="23">
                  <c:v>25.497318462280052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90C-493B-BD1B-5DC68B7D1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2328192"/>
        <c:axId val="110665024"/>
      </c:barChart>
      <c:catAx>
        <c:axId val="112328192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65024"/>
        <c:crossesAt val="1.0000000000000007E-13"/>
        <c:auto val="1"/>
        <c:lblAlgn val="ctr"/>
        <c:lblOffset val="100"/>
        <c:noMultiLvlLbl val="0"/>
      </c:catAx>
      <c:valAx>
        <c:axId val="110665024"/>
        <c:scaling>
          <c:logBase val="10"/>
          <c:orientation val="minMax"/>
          <c:max val="1000"/>
          <c:min val="1.0000000000000007E-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2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Calculated</a:t>
            </a:r>
            <a:r>
              <a:rPr lang="en-US" baseline="0"/>
              <a:t> LSE, </a:t>
            </a:r>
            <a:r>
              <a:rPr lang="en-US"/>
              <a:t>Pb const dark, No const light, ordered by Pb const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'compare no const with Pb const'!$N$2:$N$25</c:f>
              <c:numCache>
                <c:formatCode>0.00</c:formatCode>
                <c:ptCount val="24"/>
                <c:pt idx="0">
                  <c:v>10.09</c:v>
                </c:pt>
                <c:pt idx="1">
                  <c:v>10</c:v>
                </c:pt>
                <c:pt idx="2">
                  <c:v>10.15</c:v>
                </c:pt>
                <c:pt idx="3">
                  <c:v>10.18</c:v>
                </c:pt>
                <c:pt idx="4">
                  <c:v>10.19</c:v>
                </c:pt>
                <c:pt idx="5">
                  <c:v>10.14</c:v>
                </c:pt>
                <c:pt idx="6">
                  <c:v>10.23</c:v>
                </c:pt>
                <c:pt idx="7">
                  <c:v>10.06</c:v>
                </c:pt>
                <c:pt idx="8">
                  <c:v>10.02</c:v>
                </c:pt>
                <c:pt idx="9">
                  <c:v>10.11</c:v>
                </c:pt>
                <c:pt idx="10">
                  <c:v>10.029999999999999</c:v>
                </c:pt>
                <c:pt idx="11">
                  <c:v>10.1</c:v>
                </c:pt>
                <c:pt idx="12">
                  <c:v>10.130000000000001</c:v>
                </c:pt>
                <c:pt idx="13">
                  <c:v>10.16</c:v>
                </c:pt>
                <c:pt idx="14">
                  <c:v>10.039999999999999</c:v>
                </c:pt>
                <c:pt idx="15">
                  <c:v>10.210000000000001</c:v>
                </c:pt>
                <c:pt idx="16">
                  <c:v>10.17</c:v>
                </c:pt>
                <c:pt idx="17">
                  <c:v>10.119999999999999</c:v>
                </c:pt>
                <c:pt idx="18">
                  <c:v>10.050000000000001</c:v>
                </c:pt>
                <c:pt idx="19">
                  <c:v>10.199999999999999</c:v>
                </c:pt>
                <c:pt idx="20">
                  <c:v>10.07</c:v>
                </c:pt>
                <c:pt idx="21">
                  <c:v>10.220000000000001</c:v>
                </c:pt>
                <c:pt idx="22">
                  <c:v>10.08</c:v>
                </c:pt>
                <c:pt idx="23">
                  <c:v>10.01</c:v>
                </c:pt>
              </c:numCache>
            </c:numRef>
          </c:cat>
          <c:val>
            <c:numRef>
              <c:f>'compare no const with Pb const'!$O$2:$O$25</c:f>
              <c:numCache>
                <c:formatCode>General</c:formatCode>
                <c:ptCount val="24"/>
                <c:pt idx="0">
                  <c:v>1.6926652361025009E-12</c:v>
                </c:pt>
                <c:pt idx="1">
                  <c:v>1.6926656966503639E-12</c:v>
                </c:pt>
                <c:pt idx="2">
                  <c:v>1.1736281714087789E-11</c:v>
                </c:pt>
                <c:pt idx="3">
                  <c:v>1.1736282873632674E-11</c:v>
                </c:pt>
                <c:pt idx="4">
                  <c:v>1.4201804135251729E-11</c:v>
                </c:pt>
                <c:pt idx="5">
                  <c:v>1.4201814238030833E-11</c:v>
                </c:pt>
                <c:pt idx="6">
                  <c:v>1.9709669568599738E-11</c:v>
                </c:pt>
                <c:pt idx="7">
                  <c:v>1.970969399339831E-11</c:v>
                </c:pt>
                <c:pt idx="8">
                  <c:v>3.7583228418221325E-11</c:v>
                </c:pt>
                <c:pt idx="9">
                  <c:v>3.7583241286728069E-11</c:v>
                </c:pt>
                <c:pt idx="10">
                  <c:v>2.6712892699645868E-10</c:v>
                </c:pt>
                <c:pt idx="11">
                  <c:v>2.6712897918787831E-10</c:v>
                </c:pt>
                <c:pt idx="12">
                  <c:v>2.8576323419504846E-10</c:v>
                </c:pt>
                <c:pt idx="13">
                  <c:v>2.8576387788761855E-10</c:v>
                </c:pt>
                <c:pt idx="14">
                  <c:v>4.3454244253849839E-10</c:v>
                </c:pt>
                <c:pt idx="15">
                  <c:v>4.3454341402825142E-10</c:v>
                </c:pt>
                <c:pt idx="16">
                  <c:v>4.3489576505541156E-10</c:v>
                </c:pt>
                <c:pt idx="17">
                  <c:v>4.3489576767431899E-10</c:v>
                </c:pt>
                <c:pt idx="18">
                  <c:v>9.5642100693777928E-10</c:v>
                </c:pt>
                <c:pt idx="19">
                  <c:v>9.5642692766258606E-10</c:v>
                </c:pt>
                <c:pt idx="20">
                  <c:v>1.3345794402029193E-9</c:v>
                </c:pt>
                <c:pt idx="21">
                  <c:v>1.3345818747174865E-9</c:v>
                </c:pt>
                <c:pt idx="22">
                  <c:v>8.4660276288965343E-8</c:v>
                </c:pt>
                <c:pt idx="23">
                  <c:v>8.4660321724038567E-8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CA6-4227-86C2-A395216FB0E3}"/>
            </c:ext>
          </c:extLst>
        </c:ser>
        <c:ser>
          <c:idx val="1"/>
          <c:order val="1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'compare no const with Pb const'!$N$2:$N$25</c:f>
              <c:numCache>
                <c:formatCode>0.00</c:formatCode>
                <c:ptCount val="24"/>
                <c:pt idx="0">
                  <c:v>10.09</c:v>
                </c:pt>
                <c:pt idx="1">
                  <c:v>10</c:v>
                </c:pt>
                <c:pt idx="2">
                  <c:v>10.15</c:v>
                </c:pt>
                <c:pt idx="3">
                  <c:v>10.18</c:v>
                </c:pt>
                <c:pt idx="4">
                  <c:v>10.19</c:v>
                </c:pt>
                <c:pt idx="5">
                  <c:v>10.14</c:v>
                </c:pt>
                <c:pt idx="6">
                  <c:v>10.23</c:v>
                </c:pt>
                <c:pt idx="7">
                  <c:v>10.06</c:v>
                </c:pt>
                <c:pt idx="8">
                  <c:v>10.02</c:v>
                </c:pt>
                <c:pt idx="9">
                  <c:v>10.11</c:v>
                </c:pt>
                <c:pt idx="10">
                  <c:v>10.029999999999999</c:v>
                </c:pt>
                <c:pt idx="11">
                  <c:v>10.1</c:v>
                </c:pt>
                <c:pt idx="12">
                  <c:v>10.130000000000001</c:v>
                </c:pt>
                <c:pt idx="13">
                  <c:v>10.16</c:v>
                </c:pt>
                <c:pt idx="14">
                  <c:v>10.039999999999999</c:v>
                </c:pt>
                <c:pt idx="15">
                  <c:v>10.210000000000001</c:v>
                </c:pt>
                <c:pt idx="16">
                  <c:v>10.17</c:v>
                </c:pt>
                <c:pt idx="17">
                  <c:v>10.119999999999999</c:v>
                </c:pt>
                <c:pt idx="18">
                  <c:v>10.050000000000001</c:v>
                </c:pt>
                <c:pt idx="19">
                  <c:v>10.199999999999999</c:v>
                </c:pt>
                <c:pt idx="20">
                  <c:v>10.07</c:v>
                </c:pt>
                <c:pt idx="21">
                  <c:v>10.220000000000001</c:v>
                </c:pt>
                <c:pt idx="22">
                  <c:v>10.08</c:v>
                </c:pt>
                <c:pt idx="23">
                  <c:v>10.01</c:v>
                </c:pt>
              </c:numCache>
            </c:numRef>
          </c:cat>
          <c:val>
            <c:numRef>
              <c:f>'compare no const with Pb const'!$P$2:$P$25</c:f>
              <c:numCache>
                <c:formatCode>General</c:formatCode>
                <c:ptCount val="24"/>
                <c:pt idx="0">
                  <c:v>2.0562170417729023E-2</c:v>
                </c:pt>
                <c:pt idx="1">
                  <c:v>2.0856817647377221E-2</c:v>
                </c:pt>
                <c:pt idx="2">
                  <c:v>4.4636454982343245</c:v>
                </c:pt>
                <c:pt idx="3">
                  <c:v>4.4960916134772786</c:v>
                </c:pt>
                <c:pt idx="4">
                  <c:v>6.3538134435684022</c:v>
                </c:pt>
                <c:pt idx="5">
                  <c:v>5.0433080027479935</c:v>
                </c:pt>
                <c:pt idx="6">
                  <c:v>0.15602869518460913</c:v>
                </c:pt>
                <c:pt idx="7">
                  <c:v>0.1839709298575761</c:v>
                </c:pt>
                <c:pt idx="8">
                  <c:v>8.8192464336463949</c:v>
                </c:pt>
                <c:pt idx="9">
                  <c:v>13.745057674265974</c:v>
                </c:pt>
                <c:pt idx="10">
                  <c:v>2.1252586018534085</c:v>
                </c:pt>
                <c:pt idx="11">
                  <c:v>2.1173050660466846</c:v>
                </c:pt>
                <c:pt idx="12">
                  <c:v>5.7879640939116266</c:v>
                </c:pt>
                <c:pt idx="13">
                  <c:v>9.5049947115816019E-2</c:v>
                </c:pt>
                <c:pt idx="14">
                  <c:v>3.3081978482554945E-2</c:v>
                </c:pt>
                <c:pt idx="15">
                  <c:v>3.2929287994076462E-2</c:v>
                </c:pt>
                <c:pt idx="16">
                  <c:v>25.278412316001731</c:v>
                </c:pt>
                <c:pt idx="17">
                  <c:v>25.497318462280052</c:v>
                </c:pt>
                <c:pt idx="18">
                  <c:v>1.3674552760421317</c:v>
                </c:pt>
                <c:pt idx="19">
                  <c:v>1.3650192121558928</c:v>
                </c:pt>
                <c:pt idx="20">
                  <c:v>0.34767526589679754</c:v>
                </c:pt>
                <c:pt idx="21">
                  <c:v>0.18567770376878062</c:v>
                </c:pt>
                <c:pt idx="22">
                  <c:v>4.5193042373148611</c:v>
                </c:pt>
                <c:pt idx="23">
                  <c:v>4.4872615070033159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CA6-4227-86C2-A395216FB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9018496"/>
        <c:axId val="47189376"/>
      </c:barChart>
      <c:catAx>
        <c:axId val="119018496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89376"/>
        <c:crossesAt val="1.0000000000000007E-13"/>
        <c:auto val="1"/>
        <c:lblAlgn val="ctr"/>
        <c:lblOffset val="100"/>
        <c:noMultiLvlLbl val="0"/>
      </c:catAx>
      <c:valAx>
        <c:axId val="47189376"/>
        <c:scaling>
          <c:logBase val="10"/>
          <c:orientation val="minMax"/>
          <c:max val="100"/>
          <c:min val="1.0000000000000007E-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18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 constant'!$B$1</c:f>
              <c:strCache>
                <c:ptCount val="1"/>
                <c:pt idx="0">
                  <c:v>Calculated LSE</c:v>
                </c:pt>
              </c:strCache>
            </c:strRef>
          </c:tx>
          <c:spPr>
            <a:solidFill>
              <a:srgbClr val="337CB7"/>
            </a:solidFill>
            <a:ln>
              <a:noFill/>
            </a:ln>
            <a:effectLst/>
          </c:spPr>
          <c:invertIfNegative val="0"/>
          <c:cat>
            <c:numRef>
              <c:f>'B constant'!$A$2:$A$25</c:f>
              <c:numCache>
                <c:formatCode>0.00</c:formatCode>
                <c:ptCount val="24"/>
                <c:pt idx="0">
                  <c:v>10.119999999999999</c:v>
                </c:pt>
                <c:pt idx="1">
                  <c:v>10.17</c:v>
                </c:pt>
                <c:pt idx="2">
                  <c:v>10.18</c:v>
                </c:pt>
                <c:pt idx="3">
                  <c:v>10.15</c:v>
                </c:pt>
                <c:pt idx="4">
                  <c:v>10</c:v>
                </c:pt>
                <c:pt idx="5">
                  <c:v>10.09</c:v>
                </c:pt>
                <c:pt idx="6">
                  <c:v>10.039999999999999</c:v>
                </c:pt>
                <c:pt idx="7">
                  <c:v>10.210000000000001</c:v>
                </c:pt>
                <c:pt idx="8">
                  <c:v>10.02</c:v>
                </c:pt>
                <c:pt idx="9">
                  <c:v>10.11</c:v>
                </c:pt>
                <c:pt idx="10">
                  <c:v>10.23</c:v>
                </c:pt>
                <c:pt idx="11">
                  <c:v>10.220000000000001</c:v>
                </c:pt>
                <c:pt idx="12">
                  <c:v>10.07</c:v>
                </c:pt>
                <c:pt idx="13">
                  <c:v>10.199999999999999</c:v>
                </c:pt>
                <c:pt idx="14">
                  <c:v>10.050000000000001</c:v>
                </c:pt>
                <c:pt idx="15">
                  <c:v>10.06</c:v>
                </c:pt>
                <c:pt idx="16">
                  <c:v>10.130000000000001</c:v>
                </c:pt>
                <c:pt idx="17">
                  <c:v>10.16</c:v>
                </c:pt>
                <c:pt idx="18">
                  <c:v>10.08</c:v>
                </c:pt>
                <c:pt idx="19">
                  <c:v>10.01</c:v>
                </c:pt>
                <c:pt idx="20">
                  <c:v>10.1</c:v>
                </c:pt>
                <c:pt idx="21">
                  <c:v>10.029999999999999</c:v>
                </c:pt>
                <c:pt idx="22">
                  <c:v>10.19</c:v>
                </c:pt>
                <c:pt idx="23">
                  <c:v>10.14</c:v>
                </c:pt>
              </c:numCache>
            </c:numRef>
          </c:cat>
          <c:val>
            <c:numRef>
              <c:f>'B constant'!$B$2:$B$25</c:f>
              <c:numCache>
                <c:formatCode>General</c:formatCode>
                <c:ptCount val="24"/>
                <c:pt idx="0">
                  <c:v>9.9040287257454603E-9</c:v>
                </c:pt>
                <c:pt idx="1">
                  <c:v>9.9080219377936808E-9</c:v>
                </c:pt>
                <c:pt idx="2">
                  <c:v>3.6656086374210767E-8</c:v>
                </c:pt>
                <c:pt idx="3">
                  <c:v>3.6656202620799088E-8</c:v>
                </c:pt>
                <c:pt idx="4">
                  <c:v>1.0243273573452971E-7</c:v>
                </c:pt>
                <c:pt idx="5">
                  <c:v>4.3918241007911722E-7</c:v>
                </c:pt>
                <c:pt idx="6">
                  <c:v>2.1411574865715097E-6</c:v>
                </c:pt>
                <c:pt idx="7">
                  <c:v>2.1444652525405079E-6</c:v>
                </c:pt>
                <c:pt idx="8">
                  <c:v>5.6808313276937052E-4</c:v>
                </c:pt>
                <c:pt idx="9">
                  <c:v>1.9361954370594669E-3</c:v>
                </c:pt>
                <c:pt idx="10">
                  <c:v>2.1577744964492501E-3</c:v>
                </c:pt>
                <c:pt idx="11">
                  <c:v>5.5945894249016578E-3</c:v>
                </c:pt>
                <c:pt idx="12">
                  <c:v>5.8333060910990085E-3</c:v>
                </c:pt>
                <c:pt idx="13">
                  <c:v>9.2399503723863199E-3</c:v>
                </c:pt>
                <c:pt idx="14">
                  <c:v>1.01477271960619E-2</c:v>
                </c:pt>
                <c:pt idx="15">
                  <c:v>3.7664655615138466E-2</c:v>
                </c:pt>
                <c:pt idx="16">
                  <c:v>0.20782218925951929</c:v>
                </c:pt>
                <c:pt idx="17">
                  <c:v>0.20782400700413806</c:v>
                </c:pt>
                <c:pt idx="18">
                  <c:v>4.4926322639902159</c:v>
                </c:pt>
                <c:pt idx="19">
                  <c:v>4.6222527429608915</c:v>
                </c:pt>
                <c:pt idx="20">
                  <c:v>5.1552971885391115</c:v>
                </c:pt>
                <c:pt idx="21">
                  <c:v>5.2472754344349264</c:v>
                </c:pt>
                <c:pt idx="22">
                  <c:v>8.9254106235612642</c:v>
                </c:pt>
                <c:pt idx="23">
                  <c:v>9.6323754356668658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AE6-4C22-9488-42930035D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846016"/>
        <c:axId val="47189952"/>
      </c:barChart>
      <c:catAx>
        <c:axId val="117846016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47189952"/>
        <c:crossesAt val="1.0000000000000007E-13"/>
        <c:auto val="1"/>
        <c:lblAlgn val="ctr"/>
        <c:lblOffset val="100"/>
        <c:noMultiLvlLbl val="0"/>
      </c:catAx>
      <c:valAx>
        <c:axId val="47189952"/>
        <c:scaling>
          <c:logBase val="10"/>
          <c:orientation val="minMax"/>
          <c:max val="100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4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290512</xdr:colOff>
      <xdr:row>1</xdr:row>
      <xdr:rowOff>19050</xdr:rowOff>
    </xdr:from>
    <xdr:to>
      <xdr:col>12</xdr:col>
      <xdr:colOff>457200</xdr:colOff>
      <xdr:row>20</xdr:row>
      <xdr:rowOff>176212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CD28D55D-0B9D-313D-CEDC-12A9F39EB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452437</xdr:colOff>
      <xdr:row>21</xdr:row>
      <xdr:rowOff>128587</xdr:rowOff>
    </xdr:from>
    <xdr:to>
      <xdr:col>11</xdr:col>
      <xdr:colOff>147637</xdr:colOff>
      <xdr:row>36</xdr:row>
      <xdr:rowOff>14287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468D1089-1DF1-807E-7AE3-EF9B34D5B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3</xdr:row>
      <xdr:rowOff>52387</xdr:rowOff>
    </xdr:from>
    <xdr:to>
      <xdr:col>15</xdr:col>
      <xdr:colOff>381000</xdr:colOff>
      <xdr:row>17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6F86DA50-4012-DB17-F88E-613B20E27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zoomScaleNormal="100" workbookViewId="0">
      <selection activeCell="N12" sqref="N12"/>
    </sheetView>
  </sheetViews>
  <sheetFormatPr defaultRowHeight="14.25"/>
  <cols>
    <col min="1" max="1" width="5.625" bestFit="1" customWidth="1"/>
    <col min="2" max="2" width="26.75" bestFit="1" customWidth="1"/>
    <col min="3" max="3" width="26.625" bestFit="1" customWidth="1"/>
    <col min="14" max="14" width="5.625" bestFit="1" customWidth="1"/>
    <col min="15" max="15" width="26.75" bestFit="1" customWidth="1"/>
    <col min="16" max="16" width="26.625" bestFit="1" customWidth="1"/>
  </cols>
  <sheetData>
    <row r="1" spans="1:16">
      <c r="A1" s="6" t="s">
        <v>14</v>
      </c>
      <c r="B1" s="6" t="s">
        <v>23</v>
      </c>
      <c r="C1" s="6" t="s">
        <v>24</v>
      </c>
      <c r="N1" s="6" t="s">
        <v>14</v>
      </c>
      <c r="O1" s="6" t="s">
        <v>23</v>
      </c>
      <c r="P1" s="6" t="s">
        <v>24</v>
      </c>
    </row>
    <row r="2" spans="1:16">
      <c r="A2" s="7">
        <v>10.09</v>
      </c>
      <c r="B2" s="2">
        <v>1.6926652361025009E-12</v>
      </c>
      <c r="C2" s="2">
        <v>2.0562170417729023E-2</v>
      </c>
      <c r="N2" s="7">
        <v>10.09</v>
      </c>
      <c r="O2" s="2">
        <v>1.6926652361025009E-12</v>
      </c>
      <c r="P2" s="2">
        <v>2.0562170417729023E-2</v>
      </c>
    </row>
    <row r="3" spans="1:16">
      <c r="A3" s="7">
        <v>10</v>
      </c>
      <c r="B3" s="2">
        <v>1.6926656966503639E-12</v>
      </c>
      <c r="C3" s="2">
        <v>2.0856817647377221E-2</v>
      </c>
      <c r="N3" s="7">
        <v>10</v>
      </c>
      <c r="O3" s="2">
        <v>1.6926656966503639E-12</v>
      </c>
      <c r="P3" s="2">
        <v>2.0856817647377221E-2</v>
      </c>
    </row>
    <row r="4" spans="1:16">
      <c r="A4" s="7">
        <v>10.210000000000001</v>
      </c>
      <c r="B4" s="2">
        <v>4.3454341402825142E-10</v>
      </c>
      <c r="C4" s="2">
        <v>3.2929287994076462E-2</v>
      </c>
      <c r="N4" s="7">
        <v>10.15</v>
      </c>
      <c r="O4" s="2">
        <v>1.1736281714087789E-11</v>
      </c>
      <c r="P4" s="2">
        <v>4.4636454982343245</v>
      </c>
    </row>
    <row r="5" spans="1:16">
      <c r="A5" s="7">
        <v>10.039999999999999</v>
      </c>
      <c r="B5" s="2">
        <v>4.3454244253849839E-10</v>
      </c>
      <c r="C5" s="2">
        <v>3.3081978482554945E-2</v>
      </c>
      <c r="N5" s="7">
        <v>10.18</v>
      </c>
      <c r="O5" s="2">
        <v>1.1736282873632674E-11</v>
      </c>
      <c r="P5" s="2">
        <v>4.4960916134772786</v>
      </c>
    </row>
    <row r="6" spans="1:16">
      <c r="A6" s="7">
        <v>10.16</v>
      </c>
      <c r="B6" s="2">
        <v>2.8576387788761855E-10</v>
      </c>
      <c r="C6" s="2">
        <v>9.5049947115816019E-2</v>
      </c>
      <c r="N6" s="7">
        <v>10.19</v>
      </c>
      <c r="O6" s="2">
        <v>1.4201804135251729E-11</v>
      </c>
      <c r="P6" s="2">
        <v>6.3538134435684022</v>
      </c>
    </row>
    <row r="7" spans="1:16">
      <c r="A7" s="7">
        <v>10.23</v>
      </c>
      <c r="B7" s="2">
        <v>1.9709669568599738E-11</v>
      </c>
      <c r="C7" s="2">
        <v>0.15602869518460913</v>
      </c>
      <c r="N7" s="7">
        <v>10.14</v>
      </c>
      <c r="O7" s="2">
        <v>1.4201814238030833E-11</v>
      </c>
      <c r="P7" s="2">
        <v>5.0433080027479935</v>
      </c>
    </row>
    <row r="8" spans="1:16">
      <c r="A8" s="7">
        <v>10.06</v>
      </c>
      <c r="B8" s="2">
        <v>1.970969399339831E-11</v>
      </c>
      <c r="C8" s="2">
        <v>0.1839709298575761</v>
      </c>
      <c r="N8" s="7">
        <v>10.23</v>
      </c>
      <c r="O8" s="2">
        <v>1.9709669568599738E-11</v>
      </c>
      <c r="P8" s="2">
        <v>0.15602869518460913</v>
      </c>
    </row>
    <row r="9" spans="1:16">
      <c r="A9" s="7">
        <v>10.220000000000001</v>
      </c>
      <c r="B9" s="2">
        <v>1.3345818747174865E-9</v>
      </c>
      <c r="C9" s="2">
        <v>0.18567770376878062</v>
      </c>
      <c r="N9" s="7">
        <v>10.06</v>
      </c>
      <c r="O9" s="2">
        <v>1.970969399339831E-11</v>
      </c>
      <c r="P9" s="2">
        <v>0.1839709298575761</v>
      </c>
    </row>
    <row r="10" spans="1:16">
      <c r="A10" s="7">
        <v>10.07</v>
      </c>
      <c r="B10" s="2">
        <v>1.3345794402029193E-9</v>
      </c>
      <c r="C10" s="2">
        <v>0.34767526589679754</v>
      </c>
      <c r="N10" s="7">
        <v>10.02</v>
      </c>
      <c r="O10" s="2">
        <v>3.7583228418221325E-11</v>
      </c>
      <c r="P10" s="2">
        <v>8.8192464336463949</v>
      </c>
    </row>
    <row r="11" spans="1:16">
      <c r="A11" s="7">
        <v>10.199999999999999</v>
      </c>
      <c r="B11" s="2">
        <v>9.5642692766258606E-10</v>
      </c>
      <c r="C11" s="2">
        <v>1.3650192121558928</v>
      </c>
      <c r="N11" s="7">
        <v>10.11</v>
      </c>
      <c r="O11" s="2">
        <v>3.7583241286728069E-11</v>
      </c>
      <c r="P11" s="2">
        <v>13.745057674265974</v>
      </c>
    </row>
    <row r="12" spans="1:16">
      <c r="A12" s="7">
        <v>10.050000000000001</v>
      </c>
      <c r="B12" s="2">
        <v>9.5642100693777928E-10</v>
      </c>
      <c r="C12" s="2">
        <v>1.3674552760421317</v>
      </c>
      <c r="N12" s="7">
        <v>10.029999999999999</v>
      </c>
      <c r="O12" s="2">
        <v>2.6712892699645868E-10</v>
      </c>
      <c r="P12" s="2">
        <v>2.1252586018534085</v>
      </c>
    </row>
    <row r="13" spans="1:16">
      <c r="A13" s="7">
        <v>10.1</v>
      </c>
      <c r="B13" s="2">
        <v>2.6712897918787831E-10</v>
      </c>
      <c r="C13" s="2">
        <v>2.1173050660466846</v>
      </c>
      <c r="N13" s="7">
        <v>10.1</v>
      </c>
      <c r="O13" s="2">
        <v>2.6712897918787831E-10</v>
      </c>
      <c r="P13" s="2">
        <v>2.1173050660466846</v>
      </c>
    </row>
    <row r="14" spans="1:16">
      <c r="A14" s="7">
        <v>10.029999999999999</v>
      </c>
      <c r="B14" s="2">
        <v>2.6712892699645868E-10</v>
      </c>
      <c r="C14" s="2">
        <v>2.1252586018534085</v>
      </c>
      <c r="N14" s="7">
        <v>10.130000000000001</v>
      </c>
      <c r="O14" s="2">
        <v>2.8576323419504846E-10</v>
      </c>
      <c r="P14" s="2">
        <v>5.7879640939116266</v>
      </c>
    </row>
    <row r="15" spans="1:16">
      <c r="A15" s="7">
        <v>10.15</v>
      </c>
      <c r="B15" s="2">
        <v>1.1736281714087789E-11</v>
      </c>
      <c r="C15" s="2">
        <v>4.4636454982343245</v>
      </c>
      <c r="N15" s="7">
        <v>10.16</v>
      </c>
      <c r="O15" s="2">
        <v>2.8576387788761855E-10</v>
      </c>
      <c r="P15" s="2">
        <v>9.5049947115816019E-2</v>
      </c>
    </row>
    <row r="16" spans="1:16">
      <c r="A16" s="7">
        <v>10.01</v>
      </c>
      <c r="B16" s="2">
        <v>8.4660321724038567E-8</v>
      </c>
      <c r="C16" s="2">
        <v>4.4872615070033159</v>
      </c>
      <c r="N16" s="7">
        <v>10.039999999999999</v>
      </c>
      <c r="O16" s="2">
        <v>4.3454244253849839E-10</v>
      </c>
      <c r="P16" s="2">
        <v>3.3081978482554945E-2</v>
      </c>
    </row>
    <row r="17" spans="1:16">
      <c r="A17" s="7">
        <v>10.18</v>
      </c>
      <c r="B17" s="2">
        <v>1.1736282873632674E-11</v>
      </c>
      <c r="C17" s="2">
        <v>4.4960916134772786</v>
      </c>
      <c r="N17" s="7">
        <v>10.210000000000001</v>
      </c>
      <c r="O17" s="2">
        <v>4.3454341402825142E-10</v>
      </c>
      <c r="P17" s="2">
        <v>3.2929287994076462E-2</v>
      </c>
    </row>
    <row r="18" spans="1:16">
      <c r="A18" s="7">
        <v>10.08</v>
      </c>
      <c r="B18" s="2">
        <v>8.4660276288965343E-8</v>
      </c>
      <c r="C18" s="2">
        <v>4.5193042373148611</v>
      </c>
      <c r="N18" s="7">
        <v>10.17</v>
      </c>
      <c r="O18" s="2">
        <v>4.3489576505541156E-10</v>
      </c>
      <c r="P18" s="2">
        <v>25.278412316001731</v>
      </c>
    </row>
    <row r="19" spans="1:16">
      <c r="A19" s="7">
        <v>10.14</v>
      </c>
      <c r="B19" s="2">
        <v>1.4201814238030833E-11</v>
      </c>
      <c r="C19" s="2">
        <v>5.0433080027479935</v>
      </c>
      <c r="N19" s="7">
        <v>10.119999999999999</v>
      </c>
      <c r="O19" s="2">
        <v>4.3489576767431899E-10</v>
      </c>
      <c r="P19" s="2">
        <v>25.497318462280052</v>
      </c>
    </row>
    <row r="20" spans="1:16">
      <c r="A20" s="7">
        <v>10.130000000000001</v>
      </c>
      <c r="B20" s="2">
        <v>2.8576323419504846E-10</v>
      </c>
      <c r="C20" s="2">
        <v>5.7879640939116266</v>
      </c>
      <c r="N20" s="7">
        <v>10.050000000000001</v>
      </c>
      <c r="O20" s="2">
        <v>9.5642100693777928E-10</v>
      </c>
      <c r="P20" s="2">
        <v>1.3674552760421317</v>
      </c>
    </row>
    <row r="21" spans="1:16">
      <c r="A21" s="7">
        <v>10.19</v>
      </c>
      <c r="B21" s="2">
        <v>1.4201804135251729E-11</v>
      </c>
      <c r="C21" s="2">
        <v>6.3538134435684022</v>
      </c>
      <c r="N21" s="7">
        <v>10.199999999999999</v>
      </c>
      <c r="O21" s="2">
        <v>9.5642692766258606E-10</v>
      </c>
      <c r="P21" s="2">
        <v>1.3650192121558928</v>
      </c>
    </row>
    <row r="22" spans="1:16">
      <c r="A22" s="7">
        <v>10.02</v>
      </c>
      <c r="B22" s="2">
        <v>3.7583228418221325E-11</v>
      </c>
      <c r="C22" s="2">
        <v>8.8192464336463949</v>
      </c>
      <c r="N22" s="7">
        <v>10.07</v>
      </c>
      <c r="O22" s="2">
        <v>1.3345794402029193E-9</v>
      </c>
      <c r="P22" s="2">
        <v>0.34767526589679754</v>
      </c>
    </row>
    <row r="23" spans="1:16">
      <c r="A23" s="7">
        <v>10.11</v>
      </c>
      <c r="B23" s="2">
        <v>3.7583241286728069E-11</v>
      </c>
      <c r="C23" s="2">
        <v>13.745057674265974</v>
      </c>
      <c r="N23" s="7">
        <v>10.220000000000001</v>
      </c>
      <c r="O23" s="2">
        <v>1.3345818747174865E-9</v>
      </c>
      <c r="P23" s="2">
        <v>0.18567770376878062</v>
      </c>
    </row>
    <row r="24" spans="1:16">
      <c r="A24" s="7">
        <v>10.17</v>
      </c>
      <c r="B24" s="2">
        <v>4.3489576505541156E-10</v>
      </c>
      <c r="C24" s="2">
        <v>25.278412316001731</v>
      </c>
      <c r="N24" s="7">
        <v>10.08</v>
      </c>
      <c r="O24" s="2">
        <v>8.4660276288965343E-8</v>
      </c>
      <c r="P24" s="2">
        <v>4.5193042373148611</v>
      </c>
    </row>
    <row r="25" spans="1:16">
      <c r="A25" s="7">
        <v>10.119999999999999</v>
      </c>
      <c r="B25" s="2">
        <v>4.3489576767431899E-10</v>
      </c>
      <c r="C25" s="2">
        <v>25.497318462280052</v>
      </c>
      <c r="N25" s="7">
        <v>10.01</v>
      </c>
      <c r="O25" s="2">
        <v>8.4660321724038567E-8</v>
      </c>
      <c r="P25" s="2">
        <v>4.4872615070033159</v>
      </c>
    </row>
    <row r="26" spans="1:16">
      <c r="N26" t="s">
        <v>17</v>
      </c>
      <c r="O26">
        <f>AVERAGE(O2:O25)</f>
        <v>7.3715465423853698E-9</v>
      </c>
      <c r="P26">
        <f>AVERAGE(P2:P25)</f>
        <v>4.8559289264548076</v>
      </c>
    </row>
    <row r="27" spans="1:16">
      <c r="N27" t="s">
        <v>25</v>
      </c>
      <c r="O27">
        <f>MEDIAN(O2:O26)</f>
        <v>2.8576323419504846E-10</v>
      </c>
      <c r="P27">
        <f>MEDIAN(P2:P26)</f>
        <v>2.1252586018534085</v>
      </c>
    </row>
  </sheetData>
  <sortState ref="N2:P41">
    <sortCondition ref="O2:O41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workbookViewId="0">
      <selection activeCell="B33" sqref="B33"/>
    </sheetView>
  </sheetViews>
  <sheetFormatPr defaultRowHeight="14.25"/>
  <cols>
    <col min="1" max="1" width="7.625" style="2" bestFit="1" customWidth="1"/>
    <col min="2" max="2" width="15" style="2" bestFit="1" customWidth="1"/>
    <col min="3" max="3" width="13.25" style="2" bestFit="1" customWidth="1"/>
    <col min="5" max="5" width="7.625" style="2" bestFit="1" customWidth="1"/>
    <col min="6" max="6" width="15" style="2" bestFit="1" customWidth="1"/>
    <col min="7" max="7" width="13.25" style="2" bestFit="1" customWidth="1"/>
  </cols>
  <sheetData>
    <row r="1" spans="1:7" s="4" customFormat="1" ht="15">
      <c r="A1" s="6" t="s">
        <v>14</v>
      </c>
      <c r="B1" s="6" t="s">
        <v>15</v>
      </c>
      <c r="C1" s="6" t="s">
        <v>16</v>
      </c>
      <c r="E1" s="6" t="s">
        <v>14</v>
      </c>
      <c r="F1" s="6" t="s">
        <v>15</v>
      </c>
      <c r="G1" s="6" t="s">
        <v>16</v>
      </c>
    </row>
    <row r="2" spans="1:7">
      <c r="A2" s="7">
        <v>10.119999999999999</v>
      </c>
      <c r="B2" s="13">
        <v>9.9040287257454603E-9</v>
      </c>
      <c r="C2" s="5">
        <v>5.2994652593042157E-13</v>
      </c>
      <c r="E2" s="7">
        <v>10</v>
      </c>
      <c r="F2" s="2">
        <f>'10.0'!E17</f>
        <v>1.0243273573452971E-7</v>
      </c>
      <c r="G2" s="2">
        <f>'10.0'!B3</f>
        <v>1.3006038135289506E-12</v>
      </c>
    </row>
    <row r="3" spans="1:7">
      <c r="A3" s="7">
        <v>10.17</v>
      </c>
      <c r="B3" s="11">
        <v>9.9080219377936808E-9</v>
      </c>
      <c r="C3" s="12">
        <v>5.3011476087397726E-13</v>
      </c>
      <c r="E3" s="7">
        <v>10.01</v>
      </c>
      <c r="F3" s="2">
        <f>'10.1'!E17</f>
        <v>4.6222527429608915</v>
      </c>
      <c r="G3" s="2">
        <f>'10.1'!B3</f>
        <v>2.604953393410294E-7</v>
      </c>
    </row>
    <row r="4" spans="1:7">
      <c r="A4" s="7">
        <v>10.18</v>
      </c>
      <c r="B4" s="10">
        <v>3.6656086374210767E-8</v>
      </c>
      <c r="C4" s="5">
        <v>5.7942683155380114E-12</v>
      </c>
      <c r="E4" s="7">
        <v>10.02</v>
      </c>
      <c r="F4" s="2">
        <f>'10.2'!E17</f>
        <v>5.6808313276937052E-4</v>
      </c>
      <c r="G4" s="2">
        <f>'10.2'!B3</f>
        <v>4.203789801862726E-11</v>
      </c>
    </row>
    <row r="5" spans="1:7">
      <c r="A5" s="7">
        <v>10.15</v>
      </c>
      <c r="B5" s="10">
        <v>3.6656202620799088E-8</v>
      </c>
      <c r="C5" s="2">
        <v>5.7942747009269682E-12</v>
      </c>
      <c r="E5" s="7">
        <v>10.029999999999999</v>
      </c>
      <c r="F5" s="2">
        <f>'10.3'!E17</f>
        <v>5.2472754344349264</v>
      </c>
      <c r="G5" s="2">
        <f>'10.3'!B3</f>
        <v>9.0923625986974295E-8</v>
      </c>
    </row>
    <row r="6" spans="1:7">
      <c r="A6" s="7">
        <v>10</v>
      </c>
      <c r="B6" s="10">
        <v>1.0243273573452971E-7</v>
      </c>
      <c r="C6" s="5">
        <v>1.3006038135289506E-12</v>
      </c>
      <c r="E6" s="7">
        <v>10.039999999999999</v>
      </c>
      <c r="F6" s="2">
        <f>'10.4'!E17</f>
        <v>2.1411574865715097E-6</v>
      </c>
      <c r="G6" s="2">
        <f>'10.4'!B3</f>
        <v>7.7073405536649882E-12</v>
      </c>
    </row>
    <row r="7" spans="1:7">
      <c r="A7" s="7">
        <v>10.09</v>
      </c>
      <c r="B7" s="13">
        <v>4.3918241007911722E-7</v>
      </c>
      <c r="C7" s="5">
        <v>1.0996438804715682E-11</v>
      </c>
      <c r="E7" s="7">
        <v>10.050000000000001</v>
      </c>
      <c r="F7" s="2">
        <f>'10.5'!E17</f>
        <v>1.01477271960619E-2</v>
      </c>
      <c r="G7" s="2">
        <f>'10.5'!B3</f>
        <v>6.0068130225224028E-10</v>
      </c>
    </row>
    <row r="8" spans="1:7">
      <c r="A8" s="7">
        <v>10.039999999999999</v>
      </c>
      <c r="B8" s="13">
        <v>2.1411574865715097E-6</v>
      </c>
      <c r="C8" s="5">
        <v>7.7073405536649882E-12</v>
      </c>
      <c r="E8" s="7">
        <v>10.06</v>
      </c>
      <c r="F8" s="2">
        <f>'10.6'!E17</f>
        <v>3.7664655615138466E-2</v>
      </c>
      <c r="G8" s="2">
        <f>'10.6'!B3</f>
        <v>1.9255336379018222E-9</v>
      </c>
    </row>
    <row r="9" spans="1:7">
      <c r="A9" s="7">
        <v>10.210000000000001</v>
      </c>
      <c r="B9" s="10">
        <v>2.1444652525405079E-6</v>
      </c>
      <c r="C9" s="5">
        <v>7.7291141270195796E-12</v>
      </c>
      <c r="E9" s="7">
        <v>10.07</v>
      </c>
      <c r="F9" s="2">
        <f>'10.7'!E17</f>
        <v>5.8333060910990085E-3</v>
      </c>
      <c r="G9" s="2">
        <f>'10.7'!B3</f>
        <v>6.0042914497368974E-10</v>
      </c>
    </row>
    <row r="10" spans="1:7">
      <c r="A10" s="7">
        <v>10.02</v>
      </c>
      <c r="B10" s="13">
        <v>5.6808313276937052E-4</v>
      </c>
      <c r="C10" s="5">
        <v>4.203789801862726E-11</v>
      </c>
      <c r="E10" s="7">
        <v>10.08</v>
      </c>
      <c r="F10" s="2">
        <f>'10.8'!E17</f>
        <v>4.4926322639902159</v>
      </c>
      <c r="G10" s="2">
        <f>'10.8'!B3</f>
        <v>2.6236121455737186E-7</v>
      </c>
    </row>
    <row r="11" spans="1:7">
      <c r="A11" s="7">
        <v>10.11</v>
      </c>
      <c r="B11" s="13">
        <v>1.9361954370594669E-3</v>
      </c>
      <c r="C11" s="5">
        <v>1.4284112393045445E-10</v>
      </c>
      <c r="E11" s="7">
        <v>10.09</v>
      </c>
      <c r="F11" s="2">
        <f>'10.9'!E17</f>
        <v>4.3918241007911722E-7</v>
      </c>
      <c r="G11" s="2">
        <f>'10.9'!B3</f>
        <v>1.0996438804715682E-11</v>
      </c>
    </row>
    <row r="12" spans="1:7">
      <c r="A12" s="7">
        <v>10.23</v>
      </c>
      <c r="B12" s="10">
        <v>2.1577744964492501E-3</v>
      </c>
      <c r="C12" s="5">
        <v>1.0817728432571365E-10</v>
      </c>
      <c r="E12" s="7">
        <v>10.1</v>
      </c>
      <c r="F12" s="2">
        <f>'10.10'!E17</f>
        <v>5.1552971885391115</v>
      </c>
      <c r="G12" s="2">
        <f>'10.10'!B3</f>
        <v>9.3305016439063385E-8</v>
      </c>
    </row>
    <row r="13" spans="1:7">
      <c r="A13" s="7">
        <v>10.220000000000001</v>
      </c>
      <c r="B13" s="10">
        <v>5.5945894249016578E-3</v>
      </c>
      <c r="C13" s="5">
        <v>5.7616616914683918E-10</v>
      </c>
      <c r="E13" s="7">
        <v>10.11</v>
      </c>
      <c r="F13" s="2">
        <f>'10.11'!E17</f>
        <v>1.9361954370594669E-3</v>
      </c>
      <c r="G13" s="2">
        <f>'10.11'!B3</f>
        <v>1.4284112393045445E-10</v>
      </c>
    </row>
    <row r="14" spans="1:7">
      <c r="A14" s="7">
        <v>10.07</v>
      </c>
      <c r="B14" s="13">
        <v>5.8333060910990085E-3</v>
      </c>
      <c r="C14" s="5">
        <v>6.0042914497368974E-10</v>
      </c>
      <c r="E14" s="7">
        <v>10.119999999999999</v>
      </c>
      <c r="F14" s="2">
        <f>'10.12'!E17</f>
        <v>9.9040287257454603E-9</v>
      </c>
      <c r="G14" s="2">
        <f>'10.12'!B3</f>
        <v>5.2994652593042157E-13</v>
      </c>
    </row>
    <row r="15" spans="1:7">
      <c r="A15" s="7">
        <v>10.199999999999999</v>
      </c>
      <c r="B15" s="10">
        <v>9.2399503723863199E-3</v>
      </c>
      <c r="C15" s="5">
        <v>5.323413586900652E-10</v>
      </c>
      <c r="E15" s="7">
        <v>10.130000000000001</v>
      </c>
      <c r="F15" s="2">
        <f>'10.13'!E17</f>
        <v>0.20782218925951929</v>
      </c>
      <c r="G15" s="2">
        <f>'10.13'!B3</f>
        <v>5.3321966810025166E-8</v>
      </c>
    </row>
    <row r="16" spans="1:7" ht="15">
      <c r="A16" s="7">
        <v>10.050000000000001</v>
      </c>
      <c r="B16" s="13">
        <v>1.01477271960619E-2</v>
      </c>
      <c r="C16" s="5">
        <v>6.0068130225224028E-10</v>
      </c>
      <c r="E16" s="7">
        <v>10.14</v>
      </c>
      <c r="F16" s="2">
        <f>'10.14'!E17</f>
        <v>9.6323754356668658</v>
      </c>
      <c r="G16" s="2">
        <f>'10.14'!B3</f>
        <v>3.4196084078663736E-6</v>
      </c>
    </row>
    <row r="17" spans="1:7">
      <c r="A17" s="7">
        <v>10.06</v>
      </c>
      <c r="B17" s="13">
        <v>3.7664655615138466E-2</v>
      </c>
      <c r="C17" s="12">
        <v>1.9255336379018222E-9</v>
      </c>
      <c r="E17" s="7">
        <v>10.15</v>
      </c>
      <c r="F17" s="2">
        <f>'10.15'!E17</f>
        <v>3.6656202620799088E-8</v>
      </c>
      <c r="G17" s="2">
        <f>'10.15'!B3</f>
        <v>5.7942747009269682E-12</v>
      </c>
    </row>
    <row r="18" spans="1:7">
      <c r="A18" s="7">
        <v>10.130000000000001</v>
      </c>
      <c r="B18" s="13">
        <v>0.20782218925951929</v>
      </c>
      <c r="C18" s="5">
        <v>5.3321966810025166E-8</v>
      </c>
      <c r="E18" s="7">
        <v>10.16</v>
      </c>
      <c r="F18" s="2">
        <f>'10.16'!E17</f>
        <v>0.20782400700413806</v>
      </c>
      <c r="G18" s="2">
        <f>'10.16'!B3</f>
        <v>5.3321830527188507E-8</v>
      </c>
    </row>
    <row r="19" spans="1:7" ht="15">
      <c r="A19" s="7">
        <v>10.16</v>
      </c>
      <c r="B19" s="10">
        <v>0.20782400700413806</v>
      </c>
      <c r="C19" s="5">
        <v>5.3321830527188507E-8</v>
      </c>
      <c r="E19" s="7">
        <v>10.17</v>
      </c>
      <c r="F19" s="2">
        <f>'10.17'!E17</f>
        <v>9.9080219377936808E-9</v>
      </c>
      <c r="G19" s="2">
        <f>'10.17'!B3</f>
        <v>5.3011476087397726E-13</v>
      </c>
    </row>
    <row r="20" spans="1:7">
      <c r="A20" s="7">
        <v>10.08</v>
      </c>
      <c r="B20" s="13">
        <v>4.4926322639902159</v>
      </c>
      <c r="C20" s="5">
        <v>2.6236121455737186E-7</v>
      </c>
      <c r="E20" s="7">
        <v>10.18</v>
      </c>
      <c r="F20" s="2">
        <f>'10.18'!E17</f>
        <v>3.6656086374210767E-8</v>
      </c>
      <c r="G20" s="2">
        <f>'10.18'!B3</f>
        <v>5.7942683155380114E-12</v>
      </c>
    </row>
    <row r="21" spans="1:7">
      <c r="A21" s="7">
        <v>10.01</v>
      </c>
      <c r="B21" s="10">
        <v>4.6222527429608915</v>
      </c>
      <c r="C21" s="2">
        <v>2.604953393410294E-7</v>
      </c>
      <c r="E21" s="7">
        <v>10.19</v>
      </c>
      <c r="F21" s="2">
        <f>'10.19'!E17</f>
        <v>8.9254106235612642</v>
      </c>
      <c r="G21" s="2">
        <f>'10.19'!B3</f>
        <v>3.6008305221565159E-6</v>
      </c>
    </row>
    <row r="22" spans="1:7">
      <c r="A22" s="7">
        <v>10.1</v>
      </c>
      <c r="B22" s="13">
        <v>5.1552971885391115</v>
      </c>
      <c r="C22" s="5">
        <v>9.3305016439063385E-8</v>
      </c>
      <c r="E22" s="7">
        <v>10.199999999999999</v>
      </c>
      <c r="F22" s="2">
        <f>'10.20'!E17</f>
        <v>9.2399503723863199E-3</v>
      </c>
      <c r="G22" s="2">
        <f>'10.20'!B3</f>
        <v>5.323413586900652E-10</v>
      </c>
    </row>
    <row r="23" spans="1:7">
      <c r="A23" s="7">
        <v>10.029999999999999</v>
      </c>
      <c r="B23" s="13">
        <v>5.2472754344349264</v>
      </c>
      <c r="C23" s="5">
        <v>9.0923625986974295E-8</v>
      </c>
      <c r="E23" s="7">
        <v>10.210000000000001</v>
      </c>
      <c r="F23" s="2">
        <f>'10.21'!E17</f>
        <v>2.1444652525405079E-6</v>
      </c>
      <c r="G23" s="2">
        <f>'10.21'!B3</f>
        <v>7.7291141270195796E-12</v>
      </c>
    </row>
    <row r="24" spans="1:7">
      <c r="A24" s="7">
        <v>10.19</v>
      </c>
      <c r="B24" s="10">
        <v>8.9254106235612642</v>
      </c>
      <c r="C24" s="5">
        <v>3.6008305221565159E-6</v>
      </c>
      <c r="E24" s="7">
        <v>10.220000000000001</v>
      </c>
      <c r="F24" s="2">
        <f>'10.22'!E17</f>
        <v>5.5945894249016578E-3</v>
      </c>
      <c r="G24" s="2">
        <f>'10.22'!B3</f>
        <v>5.7616616914683918E-10</v>
      </c>
    </row>
    <row r="25" spans="1:7">
      <c r="A25" s="7">
        <v>10.14</v>
      </c>
      <c r="B25" s="11">
        <v>9.6323754356668658</v>
      </c>
      <c r="C25" s="5">
        <v>3.4196084078663736E-6</v>
      </c>
      <c r="E25" s="7">
        <v>10.23</v>
      </c>
      <c r="F25" s="2">
        <f>'10.23'!E17</f>
        <v>2.1577744964492501E-3</v>
      </c>
      <c r="G25" s="2">
        <f>'10.23'!B3</f>
        <v>1.0817728432571365E-10</v>
      </c>
    </row>
    <row r="26" spans="1:7">
      <c r="A26" s="2" t="s">
        <v>17</v>
      </c>
      <c r="B26" s="2">
        <f>AVERAGE(B2:B25)</f>
        <v>1.6068348786477094</v>
      </c>
      <c r="E26" s="2" t="s">
        <v>17</v>
      </c>
      <c r="F26" s="2">
        <f>AVERAGE(F2:F25)</f>
        <v>1.6068348786477094</v>
      </c>
    </row>
    <row r="27" spans="1:7">
      <c r="A27" s="2" t="s">
        <v>18</v>
      </c>
      <c r="B27" s="2">
        <f>SUM(B2:B25)</f>
        <v>38.564037087545024</v>
      </c>
      <c r="E27" s="2" t="s">
        <v>18</v>
      </c>
      <c r="F27" s="2">
        <f>SUM(F2:F25)</f>
        <v>38.564037087545024</v>
      </c>
    </row>
  </sheetData>
  <sortState ref="A2:C25">
    <sortCondition ref="B2:B25"/>
  </sortState>
  <printOptions gridLines="1"/>
  <pageMargins left="0.7" right="0.7" top="0.75" bottom="0.75" header="0.3" footer="0.3"/>
  <pageSetup orientation="portrait" r:id="rId1"/>
  <headerFooter>
    <oddHeader>&amp;A</oddHeader>
    <oddFooter>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D2" sqref="D2:G5"/>
    </sheetView>
  </sheetViews>
  <sheetFormatPr defaultRowHeight="14.25"/>
  <sheetData>
    <row r="1" spans="1:7" ht="15.75">
      <c r="A1" s="3" t="s">
        <v>13</v>
      </c>
    </row>
    <row r="2" spans="1:7">
      <c r="A2" t="s">
        <v>0</v>
      </c>
      <c r="B2" t="s">
        <v>1</v>
      </c>
      <c r="D2" t="s">
        <v>12</v>
      </c>
      <c r="E2" t="s">
        <v>9</v>
      </c>
      <c r="F2" t="s">
        <v>10</v>
      </c>
      <c r="G2" t="s">
        <v>11</v>
      </c>
    </row>
    <row r="3" spans="1:7">
      <c r="A3" t="s">
        <v>2</v>
      </c>
      <c r="B3">
        <v>1.0817728432571365E-10</v>
      </c>
      <c r="D3" t="s">
        <v>9</v>
      </c>
      <c r="E3">
        <v>0</v>
      </c>
      <c r="F3">
        <v>-1.0401477907041645</v>
      </c>
      <c r="G3">
        <v>-1.9766350142086337</v>
      </c>
    </row>
    <row r="4" spans="1:7">
      <c r="A4" t="s">
        <v>3</v>
      </c>
      <c r="B4">
        <v>1.467728585660534</v>
      </c>
      <c r="D4" t="s">
        <v>10</v>
      </c>
      <c r="E4">
        <v>1.0000221259132713</v>
      </c>
      <c r="F4">
        <v>0</v>
      </c>
      <c r="G4">
        <v>0</v>
      </c>
    </row>
    <row r="5" spans="1:7">
      <c r="A5" t="s">
        <v>4</v>
      </c>
      <c r="B5">
        <v>0</v>
      </c>
      <c r="D5" t="s">
        <v>11</v>
      </c>
      <c r="E5">
        <v>2.0000796708043511</v>
      </c>
      <c r="F5">
        <v>0</v>
      </c>
      <c r="G5">
        <v>0</v>
      </c>
    </row>
    <row r="6" spans="1:7">
      <c r="A6" t="s">
        <v>5</v>
      </c>
      <c r="B6">
        <v>5404</v>
      </c>
    </row>
    <row r="7" spans="1:7">
      <c r="A7" t="s">
        <v>6</v>
      </c>
    </row>
    <row r="8" spans="1:7">
      <c r="A8" t="s">
        <v>7</v>
      </c>
      <c r="B8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>
      <c r="A9" t="s">
        <v>9</v>
      </c>
      <c r="B9">
        <v>3.2214272310028592E-10</v>
      </c>
      <c r="D9" s="5" t="s">
        <v>9</v>
      </c>
      <c r="E9" s="5">
        <v>0</v>
      </c>
      <c r="F9" s="5">
        <v>-1</v>
      </c>
      <c r="G9" s="5">
        <v>-2</v>
      </c>
    </row>
    <row r="10" spans="1:7">
      <c r="A10" t="s">
        <v>10</v>
      </c>
      <c r="B10">
        <v>6.4626588528618688E-13</v>
      </c>
      <c r="D10" s="5" t="s">
        <v>10</v>
      </c>
      <c r="E10" s="5">
        <v>1</v>
      </c>
      <c r="F10" s="5">
        <v>0</v>
      </c>
      <c r="G10" s="5">
        <v>0</v>
      </c>
    </row>
    <row r="11" spans="1:7">
      <c r="A11" t="s">
        <v>11</v>
      </c>
      <c r="B11">
        <v>1.7428639915687962E-12</v>
      </c>
      <c r="D11" s="5" t="s">
        <v>11</v>
      </c>
      <c r="E11" s="5">
        <v>2</v>
      </c>
      <c r="F11" s="5">
        <v>0</v>
      </c>
      <c r="G11" s="5">
        <v>0</v>
      </c>
    </row>
    <row r="13" spans="1:7" ht="15">
      <c r="E13">
        <f>(E9-E3)^2</f>
        <v>0</v>
      </c>
      <c r="F13">
        <f t="shared" ref="F13:G13" si="0">(F9-F3)^2</f>
        <v>1.6118450984253991E-3</v>
      </c>
      <c r="G13">
        <f t="shared" si="0"/>
        <v>5.4592256103074693E-4</v>
      </c>
    </row>
    <row r="14" spans="1:7" ht="15">
      <c r="E14">
        <f t="shared" ref="E14:G15" si="1">(E10-E4)^2</f>
        <v>4.8955603809047894E-10</v>
      </c>
      <c r="F14">
        <f t="shared" si="1"/>
        <v>0</v>
      </c>
      <c r="G14">
        <f t="shared" si="1"/>
        <v>0</v>
      </c>
    </row>
    <row r="15" spans="1:7" ht="15">
      <c r="E15">
        <f>(E11-E5)^2</f>
        <v>6.3474370659540269E-9</v>
      </c>
      <c r="F15">
        <f t="shared" si="1"/>
        <v>0</v>
      </c>
      <c r="G15">
        <f t="shared" si="1"/>
        <v>0</v>
      </c>
    </row>
    <row r="17" spans="5:5" ht="15">
      <c r="E17" s="4">
        <f>SUM(E13:G15)</f>
        <v>2.1577744964492501E-3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E17" sqref="E17"/>
    </sheetView>
  </sheetViews>
  <sheetFormatPr defaultRowHeight="14.25"/>
  <sheetData>
    <row r="1" spans="1:7" ht="15.75">
      <c r="A1" s="3" t="s">
        <v>29</v>
      </c>
    </row>
    <row r="2" spans="1:7">
      <c r="A2" t="s">
        <v>0</v>
      </c>
      <c r="B2" t="s">
        <v>1</v>
      </c>
      <c r="D2" t="s">
        <v>12</v>
      </c>
      <c r="E2" t="s">
        <v>9</v>
      </c>
      <c r="F2" t="s">
        <v>10</v>
      </c>
      <c r="G2" t="s">
        <v>11</v>
      </c>
    </row>
    <row r="3" spans="1:7">
      <c r="A3" t="s">
        <v>2</v>
      </c>
      <c r="B3">
        <v>5.7616616914683918E-10</v>
      </c>
      <c r="D3" t="s">
        <v>9</v>
      </c>
      <c r="E3">
        <v>0</v>
      </c>
      <c r="F3">
        <v>-2.0219617219826223</v>
      </c>
      <c r="G3">
        <v>0.92869035246310427</v>
      </c>
    </row>
    <row r="4" spans="1:7">
      <c r="A4" t="s">
        <v>3</v>
      </c>
      <c r="B4">
        <v>1.4607819514194678</v>
      </c>
      <c r="D4" t="s">
        <v>10</v>
      </c>
      <c r="E4">
        <v>1.9949010867532535</v>
      </c>
      <c r="F4">
        <v>0</v>
      </c>
      <c r="G4">
        <v>0</v>
      </c>
    </row>
    <row r="5" spans="1:7">
      <c r="A5" t="s">
        <v>4</v>
      </c>
      <c r="B5">
        <v>9.8765638173704394E-35</v>
      </c>
      <c r="D5" t="s">
        <v>11</v>
      </c>
      <c r="E5">
        <v>-0.99890116228426618</v>
      </c>
      <c r="F5">
        <v>0</v>
      </c>
      <c r="G5">
        <v>0</v>
      </c>
    </row>
    <row r="6" spans="1:7">
      <c r="A6" t="s">
        <v>5</v>
      </c>
      <c r="B6">
        <v>9119</v>
      </c>
    </row>
    <row r="7" spans="1:7">
      <c r="A7" t="s">
        <v>6</v>
      </c>
    </row>
    <row r="8" spans="1:7">
      <c r="A8" t="s">
        <v>7</v>
      </c>
      <c r="B8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>
      <c r="A9" t="s">
        <v>9</v>
      </c>
      <c r="B9">
        <v>1.4389178677020917E-9</v>
      </c>
      <c r="D9" s="5" t="s">
        <v>9</v>
      </c>
      <c r="E9" s="5">
        <v>0</v>
      </c>
      <c r="F9" s="5">
        <v>-2</v>
      </c>
      <c r="G9" s="5">
        <v>1</v>
      </c>
    </row>
    <row r="10" spans="1:7">
      <c r="A10" t="s">
        <v>10</v>
      </c>
      <c r="B10">
        <v>1.6494600735044534E-10</v>
      </c>
      <c r="D10" s="5" t="s">
        <v>10</v>
      </c>
      <c r="E10" s="5">
        <v>2</v>
      </c>
      <c r="F10" s="5">
        <v>0</v>
      </c>
      <c r="G10" s="5">
        <v>0</v>
      </c>
    </row>
    <row r="11" spans="1:7">
      <c r="A11" t="s">
        <v>11</v>
      </c>
      <c r="B11">
        <v>1.2463463238798025E-10</v>
      </c>
      <c r="D11" s="5" t="s">
        <v>11</v>
      </c>
      <c r="E11" s="5">
        <v>-1</v>
      </c>
      <c r="F11" s="5">
        <v>0</v>
      </c>
      <c r="G11" s="5">
        <v>0</v>
      </c>
    </row>
    <row r="13" spans="1:7" ht="15">
      <c r="E13">
        <f>(E9-E3)^2</f>
        <v>0</v>
      </c>
      <c r="F13">
        <f t="shared" ref="F13:G13" si="0">(F9-F3)^2</f>
        <v>4.823172324419934E-4</v>
      </c>
      <c r="G13">
        <f t="shared" si="0"/>
        <v>5.0850658318362984E-3</v>
      </c>
    </row>
    <row r="14" spans="1:7" ht="15">
      <c r="E14">
        <f t="shared" ref="E14:G15" si="1">(E10-E4)^2</f>
        <v>2.5998916297846881E-5</v>
      </c>
      <c r="F14">
        <f t="shared" si="1"/>
        <v>0</v>
      </c>
      <c r="G14">
        <f t="shared" si="1"/>
        <v>0</v>
      </c>
    </row>
    <row r="15" spans="1:7" ht="15">
      <c r="E15">
        <f>(E11-E5)^2</f>
        <v>1.2074443255191298E-6</v>
      </c>
      <c r="F15">
        <f t="shared" si="1"/>
        <v>0</v>
      </c>
      <c r="G15">
        <f t="shared" si="1"/>
        <v>0</v>
      </c>
    </row>
    <row r="17" spans="5:5" ht="15">
      <c r="E17" s="9">
        <f>SUM(E13:G15)</f>
        <v>5.5945894249016578E-3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selection activeCell="D2" sqref="D2:G5"/>
    </sheetView>
  </sheetViews>
  <sheetFormatPr defaultRowHeight="14.25"/>
  <sheetData>
    <row r="1" spans="1:11" ht="15.75">
      <c r="A1" s="3" t="s">
        <v>29</v>
      </c>
    </row>
    <row r="2" spans="1:11">
      <c r="A2" t="s">
        <v>0</v>
      </c>
      <c r="B2" t="s">
        <v>1</v>
      </c>
      <c r="D2" t="s">
        <v>12</v>
      </c>
      <c r="E2" t="s">
        <v>9</v>
      </c>
      <c r="F2" t="s">
        <v>10</v>
      </c>
      <c r="G2" t="s">
        <v>11</v>
      </c>
    </row>
    <row r="3" spans="1:11">
      <c r="A3" t="s">
        <v>2</v>
      </c>
      <c r="B3">
        <v>7.7291141270195796E-12</v>
      </c>
      <c r="D3" t="s">
        <v>9</v>
      </c>
      <c r="E3">
        <v>0</v>
      </c>
      <c r="F3">
        <v>0.99878511809201398</v>
      </c>
      <c r="G3">
        <v>1.9992983122063073</v>
      </c>
    </row>
    <row r="4" spans="1:11">
      <c r="A4" t="s">
        <v>3</v>
      </c>
      <c r="B4">
        <v>1.4677884918077788</v>
      </c>
      <c r="D4" t="s">
        <v>10</v>
      </c>
      <c r="E4">
        <v>-0.99983291455360179</v>
      </c>
      <c r="F4">
        <v>0</v>
      </c>
      <c r="G4">
        <v>0</v>
      </c>
    </row>
    <row r="5" spans="1:11">
      <c r="A5" t="s">
        <v>4</v>
      </c>
      <c r="B5">
        <v>0</v>
      </c>
      <c r="D5" t="s">
        <v>11</v>
      </c>
      <c r="E5">
        <v>-1.999614975460557</v>
      </c>
      <c r="F5">
        <v>0</v>
      </c>
      <c r="G5">
        <v>0</v>
      </c>
    </row>
    <row r="6" spans="1:11">
      <c r="A6" t="s">
        <v>5</v>
      </c>
      <c r="B6">
        <v>2376</v>
      </c>
    </row>
    <row r="7" spans="1:11">
      <c r="A7" t="s">
        <v>6</v>
      </c>
    </row>
    <row r="8" spans="1:11">
      <c r="A8" t="s">
        <v>7</v>
      </c>
      <c r="B8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11">
      <c r="A9" t="s">
        <v>9</v>
      </c>
      <c r="B9">
        <v>1.2808882997820378E-11</v>
      </c>
      <c r="D9" s="5" t="s">
        <v>9</v>
      </c>
      <c r="E9" s="5">
        <v>0</v>
      </c>
      <c r="F9" s="5">
        <v>1</v>
      </c>
      <c r="G9" s="5">
        <v>2</v>
      </c>
      <c r="I9" s="5"/>
      <c r="J9" s="5"/>
      <c r="K9" s="5"/>
    </row>
    <row r="10" spans="1:11">
      <c r="A10" t="s">
        <v>10</v>
      </c>
      <c r="B10">
        <v>2.0036096915713676E-12</v>
      </c>
      <c r="D10" s="5" t="s">
        <v>10</v>
      </c>
      <c r="E10" s="5">
        <v>-1</v>
      </c>
      <c r="F10" s="5">
        <v>0</v>
      </c>
      <c r="G10" s="5">
        <v>0</v>
      </c>
      <c r="I10" s="5"/>
      <c r="J10" s="5"/>
      <c r="K10" s="5"/>
    </row>
    <row r="11" spans="1:11">
      <c r="A11" t="s">
        <v>11</v>
      </c>
      <c r="B11">
        <v>8.3748496916669896E-12</v>
      </c>
      <c r="D11" s="5" t="s">
        <v>11</v>
      </c>
      <c r="E11" s="5">
        <v>-2</v>
      </c>
      <c r="F11" s="5">
        <v>0</v>
      </c>
      <c r="G11" s="5">
        <v>0</v>
      </c>
      <c r="I11" s="5"/>
      <c r="J11" s="5"/>
      <c r="K11" s="5"/>
    </row>
    <row r="13" spans="1:11" ht="15">
      <c r="E13">
        <f>(E9-E3)^2</f>
        <v>0</v>
      </c>
      <c r="F13">
        <f t="shared" ref="F13:G13" si="0">(F9-F3)^2</f>
        <v>1.475938050351754E-6</v>
      </c>
      <c r="G13">
        <f t="shared" si="0"/>
        <v>4.9236575981736988E-7</v>
      </c>
    </row>
    <row r="14" spans="1:11" ht="15">
      <c r="E14">
        <f t="shared" ref="E14:G15" si="1">(E10-E4)^2</f>
        <v>2.791754639808825E-8</v>
      </c>
      <c r="F14">
        <f t="shared" si="1"/>
        <v>0</v>
      </c>
      <c r="G14">
        <f t="shared" si="1"/>
        <v>0</v>
      </c>
    </row>
    <row r="15" spans="1:11" ht="15">
      <c r="E15">
        <f>(E11-E5)^2</f>
        <v>1.4824389597329571E-7</v>
      </c>
      <c r="F15">
        <f t="shared" si="1"/>
        <v>0</v>
      </c>
      <c r="G15">
        <f t="shared" si="1"/>
        <v>0</v>
      </c>
    </row>
    <row r="17" spans="5:5" ht="15">
      <c r="E17" s="4">
        <f>SUM(E13:G15)</f>
        <v>2.1444652525405079E-6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E17" sqref="E17"/>
    </sheetView>
  </sheetViews>
  <sheetFormatPr defaultRowHeight="14.25"/>
  <sheetData>
    <row r="1" spans="1:7" ht="15.75">
      <c r="A1" s="3" t="s">
        <v>29</v>
      </c>
    </row>
    <row r="2" spans="1:7">
      <c r="A2" t="s">
        <v>0</v>
      </c>
      <c r="B2" t="s">
        <v>1</v>
      </c>
      <c r="D2" t="s">
        <v>12</v>
      </c>
      <c r="E2" t="s">
        <v>9</v>
      </c>
      <c r="F2" t="s">
        <v>10</v>
      </c>
      <c r="G2" t="s">
        <v>11</v>
      </c>
    </row>
    <row r="3" spans="1:7">
      <c r="A3" t="s">
        <v>2</v>
      </c>
      <c r="B3">
        <v>5.323413586900652E-10</v>
      </c>
      <c r="D3" t="s">
        <v>9</v>
      </c>
      <c r="E3">
        <v>0</v>
      </c>
      <c r="F3">
        <v>1.9090699351916394</v>
      </c>
      <c r="G3">
        <v>-1.028473392526855</v>
      </c>
    </row>
    <row r="4" spans="1:7">
      <c r="A4" t="s">
        <v>3</v>
      </c>
      <c r="B4">
        <v>1.4206765021761814</v>
      </c>
      <c r="D4" t="s">
        <v>10</v>
      </c>
      <c r="E4">
        <v>-1.9932246180429753</v>
      </c>
      <c r="F4">
        <v>0</v>
      </c>
      <c r="G4">
        <v>0</v>
      </c>
    </row>
    <row r="5" spans="1:7">
      <c r="A5" t="s">
        <v>4</v>
      </c>
      <c r="B5">
        <v>0</v>
      </c>
      <c r="D5" t="s">
        <v>11</v>
      </c>
      <c r="E5">
        <v>0.98927461871625444</v>
      </c>
      <c r="F5">
        <v>0</v>
      </c>
      <c r="G5">
        <v>0</v>
      </c>
    </row>
    <row r="6" spans="1:7">
      <c r="A6" t="s">
        <v>5</v>
      </c>
      <c r="B6">
        <v>6108</v>
      </c>
    </row>
    <row r="7" spans="1:7">
      <c r="A7" t="s">
        <v>6</v>
      </c>
    </row>
    <row r="8" spans="1:7">
      <c r="A8" t="s">
        <v>7</v>
      </c>
      <c r="B8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>
      <c r="A9" t="s">
        <v>9</v>
      </c>
      <c r="B9">
        <v>4.6867953480150186E-10</v>
      </c>
      <c r="D9" s="5" t="s">
        <v>9</v>
      </c>
      <c r="E9" s="5">
        <v>0</v>
      </c>
      <c r="F9" s="5">
        <v>2</v>
      </c>
      <c r="G9" s="5">
        <v>-1</v>
      </c>
    </row>
    <row r="10" spans="1:7">
      <c r="A10" t="s">
        <v>10</v>
      </c>
      <c r="B10">
        <v>8.4679048221761125E-10</v>
      </c>
      <c r="D10" s="5" t="s">
        <v>10</v>
      </c>
      <c r="E10" s="5">
        <v>-2</v>
      </c>
      <c r="F10" s="5">
        <v>0</v>
      </c>
      <c r="G10" s="5">
        <v>0</v>
      </c>
    </row>
    <row r="11" spans="1:7">
      <c r="A11" t="s">
        <v>11</v>
      </c>
      <c r="B11">
        <v>2.8155405905108272E-10</v>
      </c>
      <c r="D11" s="5" t="s">
        <v>11</v>
      </c>
      <c r="E11" s="5">
        <v>1</v>
      </c>
      <c r="F11" s="5">
        <v>0</v>
      </c>
      <c r="G11" s="5">
        <v>0</v>
      </c>
    </row>
    <row r="13" spans="1:7" ht="15">
      <c r="E13">
        <f>(E9-E3)^2</f>
        <v>0</v>
      </c>
      <c r="F13">
        <f t="shared" ref="F13:G13" si="0">(F9-F3)^2</f>
        <v>8.2682766860526641E-3</v>
      </c>
      <c r="G13">
        <f t="shared" si="0"/>
        <v>8.1073408198836165E-4</v>
      </c>
    </row>
    <row r="14" spans="1:7" ht="15">
      <c r="E14">
        <f t="shared" ref="E14:G15" si="1">(E10-E4)^2</f>
        <v>4.5905800663575189E-5</v>
      </c>
      <c r="F14">
        <f t="shared" si="1"/>
        <v>0</v>
      </c>
      <c r="G14">
        <f t="shared" si="1"/>
        <v>0</v>
      </c>
    </row>
    <row r="15" spans="1:7" ht="15">
      <c r="E15">
        <f>(E11-E5)^2</f>
        <v>1.1503380368171957E-4</v>
      </c>
      <c r="F15">
        <f t="shared" si="1"/>
        <v>0</v>
      </c>
      <c r="G15">
        <f t="shared" si="1"/>
        <v>0</v>
      </c>
    </row>
    <row r="17" spans="5:5" ht="15">
      <c r="E17" s="9">
        <f>SUM(E13:G15)</f>
        <v>9.2399503723863199E-3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E17" sqref="E17"/>
    </sheetView>
  </sheetViews>
  <sheetFormatPr defaultRowHeight="14.25"/>
  <sheetData>
    <row r="1" spans="1:7" ht="15.75">
      <c r="A1" s="3" t="s">
        <v>29</v>
      </c>
    </row>
    <row r="2" spans="1:7">
      <c r="A2" t="s">
        <v>0</v>
      </c>
      <c r="B2" t="s">
        <v>1</v>
      </c>
      <c r="D2" t="s">
        <v>12</v>
      </c>
      <c r="E2" t="s">
        <v>9</v>
      </c>
      <c r="F2" t="s">
        <v>10</v>
      </c>
      <c r="G2" t="s">
        <v>11</v>
      </c>
    </row>
    <row r="3" spans="1:7">
      <c r="A3" t="s">
        <v>2</v>
      </c>
      <c r="B3">
        <v>3.6008305221565159E-6</v>
      </c>
      <c r="D3" t="s">
        <v>9</v>
      </c>
      <c r="E3">
        <v>0</v>
      </c>
      <c r="F3">
        <v>-1.7225147366382696</v>
      </c>
      <c r="G3">
        <v>-1.3314858785982984</v>
      </c>
    </row>
    <row r="4" spans="1:7">
      <c r="A4" t="s">
        <v>3</v>
      </c>
      <c r="B4">
        <v>3.8596346238953507</v>
      </c>
      <c r="D4" t="s">
        <v>10</v>
      </c>
      <c r="E4">
        <v>-2.0944847771796429</v>
      </c>
      <c r="F4">
        <v>0</v>
      </c>
      <c r="G4">
        <v>0</v>
      </c>
    </row>
    <row r="5" spans="1:7">
      <c r="A5" t="s">
        <v>4</v>
      </c>
      <c r="B5">
        <v>1.5802502107792703E-33</v>
      </c>
      <c r="D5" t="s">
        <v>11</v>
      </c>
      <c r="E5">
        <v>0.27993334324514318</v>
      </c>
      <c r="F5">
        <v>0</v>
      </c>
      <c r="G5">
        <v>0</v>
      </c>
    </row>
    <row r="6" spans="1:7">
      <c r="A6" t="s">
        <v>5</v>
      </c>
      <c r="B6">
        <v>2931</v>
      </c>
    </row>
    <row r="7" spans="1:7">
      <c r="A7" t="s">
        <v>6</v>
      </c>
    </row>
    <row r="8" spans="1:7">
      <c r="A8" t="s">
        <v>7</v>
      </c>
      <c r="B8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>
      <c r="A9" t="s">
        <v>9</v>
      </c>
      <c r="B9">
        <v>5.0802768249807753E-6</v>
      </c>
      <c r="D9" s="5" t="s">
        <v>9</v>
      </c>
      <c r="E9" s="5">
        <v>0</v>
      </c>
      <c r="F9" s="5">
        <v>-1</v>
      </c>
      <c r="G9" s="5">
        <v>1</v>
      </c>
    </row>
    <row r="10" spans="1:7">
      <c r="A10" t="s">
        <v>10</v>
      </c>
      <c r="B10">
        <v>1.682488891665668E-6</v>
      </c>
      <c r="D10" s="5" t="s">
        <v>10</v>
      </c>
      <c r="E10" s="5">
        <v>-2</v>
      </c>
      <c r="F10" s="5">
        <v>0</v>
      </c>
      <c r="G10" s="5">
        <v>0</v>
      </c>
    </row>
    <row r="11" spans="1:7">
      <c r="A11" t="s">
        <v>11</v>
      </c>
      <c r="B11">
        <v>4.0397258498231056E-6</v>
      </c>
      <c r="D11" s="5" t="s">
        <v>11</v>
      </c>
      <c r="E11" s="5">
        <v>2</v>
      </c>
      <c r="F11" s="5">
        <v>0</v>
      </c>
      <c r="G11" s="5">
        <v>0</v>
      </c>
    </row>
    <row r="13" spans="1:7" ht="15">
      <c r="E13">
        <f>(E9-E3)^2</f>
        <v>0</v>
      </c>
      <c r="F13">
        <f t="shared" ref="F13:G13" si="0">(F9-F3)^2</f>
        <v>0.5220275446594681</v>
      </c>
      <c r="G13">
        <f t="shared" si="0"/>
        <v>5.4358264021032792</v>
      </c>
    </row>
    <row r="14" spans="1:7" ht="15">
      <c r="E14">
        <f t="shared" ref="E14:G15" si="1">(E10-E4)^2</f>
        <v>8.9273731186867624E-3</v>
      </c>
      <c r="F14">
        <f t="shared" si="1"/>
        <v>0</v>
      </c>
      <c r="G14">
        <f t="shared" si="1"/>
        <v>0</v>
      </c>
    </row>
    <row r="15" spans="1:7" ht="15">
      <c r="E15">
        <f>(E11-E5)^2</f>
        <v>2.9586293036798303</v>
      </c>
      <c r="F15">
        <f t="shared" si="1"/>
        <v>0</v>
      </c>
      <c r="G15">
        <f t="shared" si="1"/>
        <v>0</v>
      </c>
    </row>
    <row r="17" spans="5:5" ht="15">
      <c r="E17" s="9">
        <f>SUM(E13:G15)</f>
        <v>8.9254106235612642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D2" sqref="D2:G5"/>
    </sheetView>
  </sheetViews>
  <sheetFormatPr defaultRowHeight="14.25"/>
  <sheetData>
    <row r="1" spans="1:7" ht="15.75">
      <c r="A1" s="3" t="s">
        <v>29</v>
      </c>
    </row>
    <row r="2" spans="1:7">
      <c r="A2" t="s">
        <v>0</v>
      </c>
      <c r="B2" t="s">
        <v>1</v>
      </c>
      <c r="D2" t="s">
        <v>12</v>
      </c>
      <c r="E2" t="s">
        <v>9</v>
      </c>
      <c r="F2" t="s">
        <v>10</v>
      </c>
      <c r="G2" t="s">
        <v>11</v>
      </c>
    </row>
    <row r="3" spans="1:7">
      <c r="A3" t="s">
        <v>2</v>
      </c>
      <c r="B3">
        <v>5.7942683155380114E-12</v>
      </c>
      <c r="D3" t="s">
        <v>9</v>
      </c>
      <c r="E3">
        <v>0</v>
      </c>
      <c r="F3">
        <v>0.99987940709141354</v>
      </c>
      <c r="G3">
        <v>-1.9998890649503895</v>
      </c>
    </row>
    <row r="4" spans="1:7">
      <c r="A4" t="s">
        <v>3</v>
      </c>
      <c r="B4">
        <v>1.468776960930595</v>
      </c>
      <c r="D4" t="s">
        <v>10</v>
      </c>
      <c r="E4">
        <v>2.0000990131305776</v>
      </c>
      <c r="F4">
        <v>0</v>
      </c>
      <c r="G4">
        <v>0</v>
      </c>
    </row>
    <row r="5" spans="1:7">
      <c r="A5" t="s">
        <v>4</v>
      </c>
      <c r="B5">
        <v>1.5802502107792703E-33</v>
      </c>
      <c r="D5" t="s">
        <v>11</v>
      </c>
      <c r="E5">
        <v>-1.0000018031955022</v>
      </c>
      <c r="F5">
        <v>0</v>
      </c>
      <c r="G5">
        <v>0</v>
      </c>
    </row>
    <row r="6" spans="1:7">
      <c r="A6" t="s">
        <v>5</v>
      </c>
      <c r="B6">
        <v>229</v>
      </c>
    </row>
    <row r="7" spans="1:7">
      <c r="A7" t="s">
        <v>6</v>
      </c>
    </row>
    <row r="8" spans="1:7">
      <c r="A8" t="s">
        <v>7</v>
      </c>
      <c r="B8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>
      <c r="A9" t="s">
        <v>9</v>
      </c>
      <c r="B9">
        <v>4.2038409144009944E-12</v>
      </c>
      <c r="D9" s="5" t="s">
        <v>9</v>
      </c>
      <c r="E9" s="5">
        <v>0</v>
      </c>
      <c r="F9" s="5">
        <v>1</v>
      </c>
      <c r="G9" s="5">
        <v>-2</v>
      </c>
    </row>
    <row r="10" spans="1:7">
      <c r="A10" t="s">
        <v>10</v>
      </c>
      <c r="B10">
        <v>9.92715828545487E-12</v>
      </c>
      <c r="D10" s="5" t="s">
        <v>10</v>
      </c>
      <c r="E10" s="5">
        <v>2</v>
      </c>
      <c r="F10" s="5">
        <v>0</v>
      </c>
      <c r="G10" s="5">
        <v>0</v>
      </c>
    </row>
    <row r="11" spans="1:7">
      <c r="A11" t="s">
        <v>11</v>
      </c>
      <c r="B11">
        <v>3.2518057467581718E-12</v>
      </c>
      <c r="D11" s="5" t="s">
        <v>11</v>
      </c>
      <c r="E11" s="5">
        <v>-1</v>
      </c>
      <c r="F11" s="5">
        <v>0</v>
      </c>
      <c r="G11" s="5">
        <v>0</v>
      </c>
    </row>
    <row r="13" spans="1:7" ht="15">
      <c r="E13">
        <f>(E9-E3)^2</f>
        <v>0</v>
      </c>
      <c r="F13">
        <f t="shared" ref="F13:G13" si="0">(F9-F3)^2</f>
        <v>1.4542649601342E-8</v>
      </c>
      <c r="G13">
        <f t="shared" si="0"/>
        <v>1.2306585232075461E-8</v>
      </c>
    </row>
    <row r="14" spans="1:7" ht="15">
      <c r="E14">
        <f t="shared" ref="E14:G15" si="1">(E10-E4)^2</f>
        <v>9.8036000267739831E-9</v>
      </c>
      <c r="F14">
        <f t="shared" si="1"/>
        <v>0</v>
      </c>
      <c r="G14">
        <f t="shared" si="1"/>
        <v>0</v>
      </c>
    </row>
    <row r="15" spans="1:7" ht="15">
      <c r="E15">
        <f>(E11-E5)^2</f>
        <v>3.2515140193272188E-12</v>
      </c>
      <c r="F15">
        <f t="shared" si="1"/>
        <v>0</v>
      </c>
      <c r="G15">
        <f t="shared" si="1"/>
        <v>0</v>
      </c>
    </row>
    <row r="17" spans="4:5" ht="15">
      <c r="E17" s="4">
        <f>SUM(E13:G15)</f>
        <v>3.6656086374210767E-8</v>
      </c>
    </row>
    <row r="20" spans="4:5" ht="15">
      <c r="D20" s="8"/>
    </row>
    <row r="21" spans="4:5" ht="15">
      <c r="D21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E17" sqref="E17"/>
    </sheetView>
  </sheetViews>
  <sheetFormatPr defaultRowHeight="14.25"/>
  <cols>
    <col min="5" max="5" width="12.25" bestFit="1" customWidth="1"/>
  </cols>
  <sheetData>
    <row r="1" spans="1:7" ht="15.75">
      <c r="A1" s="3" t="s">
        <v>29</v>
      </c>
    </row>
    <row r="2" spans="1:7">
      <c r="A2" t="s">
        <v>0</v>
      </c>
      <c r="B2" t="s">
        <v>1</v>
      </c>
      <c r="D2" t="s">
        <v>12</v>
      </c>
      <c r="E2" t="s">
        <v>9</v>
      </c>
      <c r="F2" t="s">
        <v>10</v>
      </c>
      <c r="G2" t="s">
        <v>11</v>
      </c>
    </row>
    <row r="3" spans="1:7">
      <c r="A3" t="s">
        <v>2</v>
      </c>
      <c r="B3">
        <v>5.3011476087397726E-13</v>
      </c>
      <c r="D3" t="s">
        <v>9</v>
      </c>
      <c r="E3">
        <v>0</v>
      </c>
      <c r="F3">
        <v>-1.9999671085351229</v>
      </c>
      <c r="G3">
        <v>1.9999860365976325</v>
      </c>
    </row>
    <row r="4" spans="1:7">
      <c r="A4" t="s">
        <v>3</v>
      </c>
      <c r="B4">
        <v>1.4687646865726716</v>
      </c>
      <c r="D4" t="s">
        <v>10</v>
      </c>
      <c r="E4">
        <v>-1.0000021651743494</v>
      </c>
      <c r="F4">
        <v>0</v>
      </c>
      <c r="G4">
        <v>0</v>
      </c>
    </row>
    <row r="5" spans="1:7">
      <c r="A5" t="s">
        <v>4</v>
      </c>
      <c r="B5">
        <v>0</v>
      </c>
      <c r="D5" t="s">
        <v>11</v>
      </c>
      <c r="E5">
        <v>0.99990712099865742</v>
      </c>
      <c r="F5">
        <v>0</v>
      </c>
      <c r="G5">
        <v>0</v>
      </c>
    </row>
    <row r="6" spans="1:7">
      <c r="A6" t="s">
        <v>5</v>
      </c>
      <c r="B6">
        <v>384</v>
      </c>
    </row>
    <row r="7" spans="1:7">
      <c r="A7" t="s">
        <v>6</v>
      </c>
    </row>
    <row r="8" spans="1:7">
      <c r="A8" t="s">
        <v>7</v>
      </c>
      <c r="B8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>
      <c r="A9" t="s">
        <v>9</v>
      </c>
      <c r="B9">
        <v>1.6559064220438364E-13</v>
      </c>
      <c r="D9" s="5" t="s">
        <v>9</v>
      </c>
      <c r="E9" s="5">
        <v>0</v>
      </c>
      <c r="F9" s="5">
        <v>-2</v>
      </c>
      <c r="G9" s="5">
        <v>2</v>
      </c>
    </row>
    <row r="10" spans="1:7">
      <c r="A10" t="s">
        <v>10</v>
      </c>
      <c r="B10">
        <v>1.2286501887315963E-13</v>
      </c>
      <c r="D10" s="5" t="s">
        <v>10</v>
      </c>
      <c r="E10" s="5">
        <v>-1</v>
      </c>
      <c r="F10" s="5">
        <v>0</v>
      </c>
      <c r="G10" s="5">
        <v>0</v>
      </c>
    </row>
    <row r="11" spans="1:7">
      <c r="A11" t="s">
        <v>11</v>
      </c>
      <c r="B11">
        <v>1.3018886215443884E-12</v>
      </c>
      <c r="D11" s="5" t="s">
        <v>11</v>
      </c>
      <c r="E11" s="5">
        <v>1</v>
      </c>
      <c r="F11" s="5">
        <v>0</v>
      </c>
      <c r="G11" s="5">
        <v>0</v>
      </c>
    </row>
    <row r="13" spans="1:7" ht="15">
      <c r="E13">
        <f>(E9-E3)^2</f>
        <v>0</v>
      </c>
      <c r="F13">
        <f t="shared" ref="F13:G13" si="0">(F9-F3)^2</f>
        <v>1.0818484617589128E-9</v>
      </c>
      <c r="G13">
        <f t="shared" si="0"/>
        <v>1.9497660567610125E-10</v>
      </c>
    </row>
    <row r="14" spans="1:7" ht="15">
      <c r="E14">
        <f t="shared" ref="E14:G15" si="1">(E10-E4)^2</f>
        <v>4.6879799631554877E-12</v>
      </c>
      <c r="F14">
        <f t="shared" si="1"/>
        <v>0</v>
      </c>
      <c r="G14">
        <f t="shared" si="1"/>
        <v>0</v>
      </c>
    </row>
    <row r="15" spans="1:7" ht="15">
      <c r="E15">
        <f>(E11-E5)^2</f>
        <v>8.6265088903955107E-9</v>
      </c>
      <c r="F15">
        <f t="shared" si="1"/>
        <v>0</v>
      </c>
      <c r="G15">
        <f t="shared" si="1"/>
        <v>0</v>
      </c>
    </row>
    <row r="17" spans="5:5" ht="15">
      <c r="E17" s="9">
        <f>SUM(E13:G15)</f>
        <v>9.9080219377936808E-9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E17" sqref="E17"/>
    </sheetView>
  </sheetViews>
  <sheetFormatPr defaultRowHeight="14.25"/>
  <sheetData>
    <row r="1" spans="1:7" ht="15.75">
      <c r="A1" s="3" t="s">
        <v>29</v>
      </c>
    </row>
    <row r="2" spans="1:7">
      <c r="A2" t="s">
        <v>0</v>
      </c>
      <c r="B2" t="s">
        <v>1</v>
      </c>
      <c r="D2" t="s">
        <v>12</v>
      </c>
      <c r="E2" t="s">
        <v>9</v>
      </c>
      <c r="F2" t="s">
        <v>10</v>
      </c>
      <c r="G2" t="s">
        <v>11</v>
      </c>
    </row>
    <row r="3" spans="1:7">
      <c r="A3" t="s">
        <v>2</v>
      </c>
      <c r="B3">
        <v>5.3321830527188507E-8</v>
      </c>
      <c r="D3" t="s">
        <v>9</v>
      </c>
      <c r="E3">
        <v>0</v>
      </c>
      <c r="F3">
        <v>2.0196275011982836</v>
      </c>
      <c r="G3">
        <v>-1.0513769086027684</v>
      </c>
    </row>
    <row r="4" spans="1:7">
      <c r="A4" t="s">
        <v>3</v>
      </c>
      <c r="B4">
        <v>1.3985054262821628</v>
      </c>
      <c r="D4" t="s">
        <v>10</v>
      </c>
      <c r="E4">
        <v>0.54746127180323356</v>
      </c>
      <c r="F4">
        <v>0</v>
      </c>
      <c r="G4">
        <v>0</v>
      </c>
    </row>
    <row r="5" spans="1:7">
      <c r="A5" t="s">
        <v>4</v>
      </c>
      <c r="B5">
        <v>0</v>
      </c>
      <c r="D5" t="s">
        <v>11</v>
      </c>
      <c r="E5">
        <v>-1.9971926978564183</v>
      </c>
      <c r="F5">
        <v>0</v>
      </c>
      <c r="G5">
        <v>0</v>
      </c>
    </row>
    <row r="6" spans="1:7">
      <c r="A6" t="s">
        <v>5</v>
      </c>
      <c r="B6">
        <v>1570</v>
      </c>
    </row>
    <row r="7" spans="1:7">
      <c r="A7" t="s">
        <v>6</v>
      </c>
    </row>
    <row r="8" spans="1:7">
      <c r="A8" t="s">
        <v>7</v>
      </c>
      <c r="B8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>
      <c r="A9" t="s">
        <v>9</v>
      </c>
      <c r="B9">
        <v>6.4969779845913029E-10</v>
      </c>
      <c r="D9" s="5" t="s">
        <v>9</v>
      </c>
      <c r="E9" s="5">
        <v>0</v>
      </c>
      <c r="F9" s="5">
        <v>2</v>
      </c>
      <c r="G9" s="5">
        <v>-1</v>
      </c>
    </row>
    <row r="10" spans="1:7">
      <c r="A10" t="s">
        <v>10</v>
      </c>
      <c r="B10">
        <v>1.5791839891884211E-7</v>
      </c>
      <c r="D10" s="5" t="s">
        <v>10</v>
      </c>
      <c r="E10" s="5">
        <v>1</v>
      </c>
      <c r="F10" s="5">
        <v>0</v>
      </c>
      <c r="G10" s="5">
        <v>0</v>
      </c>
    </row>
    <row r="11" spans="1:7">
      <c r="A11" t="s">
        <v>11</v>
      </c>
      <c r="B11">
        <v>1.3973948642642786E-9</v>
      </c>
      <c r="D11" s="5" t="s">
        <v>11</v>
      </c>
      <c r="E11" s="5">
        <v>-2</v>
      </c>
      <c r="F11" s="5">
        <v>0</v>
      </c>
      <c r="G11" s="5">
        <v>0</v>
      </c>
    </row>
    <row r="13" spans="1:7" ht="15">
      <c r="E13">
        <f>(E9-E3)^2</f>
        <v>0</v>
      </c>
      <c r="F13">
        <f t="shared" ref="F13:G13" si="0">(F9-F3)^2</f>
        <v>3.852388032886243E-4</v>
      </c>
      <c r="G13">
        <f t="shared" si="0"/>
        <v>2.6395867375772221E-3</v>
      </c>
    </row>
    <row r="14" spans="1:7" ht="15">
      <c r="E14">
        <f t="shared" ref="E14:G15" si="1">(E10-E4)^2</f>
        <v>0.20479130051794686</v>
      </c>
      <c r="F14">
        <f t="shared" si="1"/>
        <v>0</v>
      </c>
      <c r="G14">
        <f t="shared" si="1"/>
        <v>0</v>
      </c>
    </row>
    <row r="15" spans="1:7" ht="15">
      <c r="E15">
        <f>(E11-E5)^2</f>
        <v>7.8809453253584849E-6</v>
      </c>
      <c r="F15">
        <f t="shared" si="1"/>
        <v>0</v>
      </c>
      <c r="G15">
        <f t="shared" si="1"/>
        <v>0</v>
      </c>
    </row>
    <row r="17" spans="5:5" ht="15">
      <c r="E17" s="9">
        <f>SUM(E13:G15)</f>
        <v>0.20782400700413806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selection activeCell="E17" sqref="E17"/>
    </sheetView>
  </sheetViews>
  <sheetFormatPr defaultRowHeight="14.25"/>
  <cols>
    <col min="5" max="5" width="12.25" bestFit="1" customWidth="1"/>
  </cols>
  <sheetData>
    <row r="1" spans="1:11" ht="15.75">
      <c r="A1" s="3" t="s">
        <v>29</v>
      </c>
    </row>
    <row r="2" spans="1:11">
      <c r="A2" t="s">
        <v>0</v>
      </c>
      <c r="B2" t="s">
        <v>1</v>
      </c>
      <c r="D2" t="s">
        <v>12</v>
      </c>
      <c r="E2" t="s">
        <v>9</v>
      </c>
      <c r="F2" t="s">
        <v>10</v>
      </c>
      <c r="G2" t="s">
        <v>11</v>
      </c>
    </row>
    <row r="3" spans="1:11">
      <c r="A3" t="s">
        <v>2</v>
      </c>
      <c r="B3">
        <v>5.7942747009269682E-12</v>
      </c>
      <c r="D3" t="s">
        <v>9</v>
      </c>
      <c r="E3">
        <v>0</v>
      </c>
      <c r="F3">
        <v>-1.9998890644428609</v>
      </c>
      <c r="G3">
        <v>0.99987940668566178</v>
      </c>
    </row>
    <row r="4" spans="1:11">
      <c r="A4" t="s">
        <v>3</v>
      </c>
      <c r="B4">
        <v>1.4687769602680461</v>
      </c>
      <c r="D4" t="s">
        <v>10</v>
      </c>
      <c r="E4">
        <v>-1.0000018032295344</v>
      </c>
      <c r="F4">
        <v>0</v>
      </c>
      <c r="G4">
        <v>0</v>
      </c>
    </row>
    <row r="5" spans="1:11">
      <c r="A5" t="s">
        <v>4</v>
      </c>
      <c r="B5">
        <v>1.5802502107792703E-33</v>
      </c>
      <c r="D5" t="s">
        <v>11</v>
      </c>
      <c r="E5">
        <v>2.0000990126541569</v>
      </c>
      <c r="F5">
        <v>0</v>
      </c>
      <c r="G5">
        <v>0</v>
      </c>
    </row>
    <row r="6" spans="1:11">
      <c r="A6" t="s">
        <v>5</v>
      </c>
      <c r="B6">
        <v>229</v>
      </c>
    </row>
    <row r="7" spans="1:11">
      <c r="A7" t="s">
        <v>6</v>
      </c>
    </row>
    <row r="8" spans="1:11">
      <c r="A8" t="s">
        <v>7</v>
      </c>
      <c r="B8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11">
      <c r="A9" t="s">
        <v>9</v>
      </c>
      <c r="B9">
        <v>4.2038870191408532E-12</v>
      </c>
      <c r="D9" s="5" t="s">
        <v>9</v>
      </c>
      <c r="E9" s="5">
        <v>0</v>
      </c>
      <c r="F9" s="5">
        <v>-2</v>
      </c>
      <c r="G9" s="5">
        <v>1</v>
      </c>
      <c r="I9" s="5"/>
      <c r="J9" s="5"/>
      <c r="K9" s="5"/>
    </row>
    <row r="10" spans="1:11">
      <c r="A10" t="s">
        <v>10</v>
      </c>
      <c r="B10">
        <v>3.25183598572308E-12</v>
      </c>
      <c r="D10" s="5" t="s">
        <v>10</v>
      </c>
      <c r="E10" s="5">
        <v>-1</v>
      </c>
      <c r="F10" s="5">
        <v>0</v>
      </c>
      <c r="G10" s="5">
        <v>0</v>
      </c>
      <c r="I10" s="5"/>
      <c r="J10" s="5"/>
      <c r="K10" s="5"/>
    </row>
    <row r="11" spans="1:11">
      <c r="A11" t="s">
        <v>11</v>
      </c>
      <c r="B11">
        <v>9.927101097916972E-12</v>
      </c>
      <c r="D11" s="5" t="s">
        <v>11</v>
      </c>
      <c r="E11" s="5">
        <v>2</v>
      </c>
      <c r="F11" s="5">
        <v>0</v>
      </c>
      <c r="G11" s="5">
        <v>0</v>
      </c>
      <c r="I11" s="5"/>
      <c r="J11" s="5"/>
      <c r="K11" s="5"/>
    </row>
    <row r="13" spans="1:11" ht="15">
      <c r="E13">
        <f>(E9-E3)^2</f>
        <v>0</v>
      </c>
      <c r="F13">
        <f t="shared" ref="F13:G13" si="0">(F9-F3)^2</f>
        <v>1.230669783777291E-8</v>
      </c>
      <c r="G13">
        <f t="shared" si="0"/>
        <v>1.4542747463077771E-8</v>
      </c>
    </row>
    <row r="14" spans="1:11" ht="15">
      <c r="E14">
        <f t="shared" ref="E14:G15" si="1">(E10-E4)^2</f>
        <v>3.2516367535824415E-12</v>
      </c>
      <c r="F14">
        <f t="shared" si="1"/>
        <v>0</v>
      </c>
      <c r="G14">
        <f t="shared" si="1"/>
        <v>0</v>
      </c>
    </row>
    <row r="15" spans="1:11" ht="15">
      <c r="E15">
        <f>(E11-E5)^2</f>
        <v>9.8035056831948259E-9</v>
      </c>
      <c r="F15">
        <f t="shared" si="1"/>
        <v>0</v>
      </c>
      <c r="G15">
        <f t="shared" si="1"/>
        <v>0</v>
      </c>
    </row>
    <row r="17" spans="5:5" ht="15">
      <c r="E17" s="9">
        <f>SUM(E13:G15)</f>
        <v>3.6656202620799088E-8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/>
  </sheetViews>
  <sheetFormatPr defaultRowHeight="14.25"/>
  <sheetData>
    <row r="1" spans="1:7" ht="15.75">
      <c r="A1" s="3" t="s">
        <v>29</v>
      </c>
    </row>
    <row r="2" spans="1:7">
      <c r="A2" t="s">
        <v>0</v>
      </c>
      <c r="B2" t="s">
        <v>1</v>
      </c>
      <c r="D2" t="s">
        <v>12</v>
      </c>
      <c r="E2" t="s">
        <v>9</v>
      </c>
      <c r="F2" t="s">
        <v>10</v>
      </c>
      <c r="G2" t="s">
        <v>11</v>
      </c>
    </row>
    <row r="3" spans="1:7">
      <c r="A3" t="s">
        <v>2</v>
      </c>
      <c r="B3">
        <v>3.4196084078663736E-6</v>
      </c>
      <c r="D3" t="s">
        <v>9</v>
      </c>
      <c r="E3">
        <v>0</v>
      </c>
      <c r="F3">
        <v>-1.4428608559453682</v>
      </c>
      <c r="G3">
        <v>-1.8233379718361717</v>
      </c>
    </row>
    <row r="4" spans="1:7">
      <c r="A4" t="s">
        <v>3</v>
      </c>
      <c r="B4">
        <v>5.2497732276987614</v>
      </c>
      <c r="D4" t="s">
        <v>10</v>
      </c>
      <c r="E4">
        <v>0.27443375802852926</v>
      </c>
      <c r="F4">
        <v>0</v>
      </c>
      <c r="G4">
        <v>0</v>
      </c>
    </row>
    <row r="5" spans="1:7">
      <c r="A5" t="s">
        <v>4</v>
      </c>
      <c r="B5">
        <v>1.5802502107792703E-33</v>
      </c>
      <c r="D5" t="s">
        <v>11</v>
      </c>
      <c r="E5">
        <v>-2.0966540369456119</v>
      </c>
      <c r="F5">
        <v>0</v>
      </c>
      <c r="G5">
        <v>0</v>
      </c>
    </row>
    <row r="6" spans="1:7">
      <c r="A6" t="s">
        <v>5</v>
      </c>
      <c r="B6">
        <v>4356</v>
      </c>
    </row>
    <row r="7" spans="1:7">
      <c r="A7" t="s">
        <v>6</v>
      </c>
    </row>
    <row r="8" spans="1:7">
      <c r="A8" t="s">
        <v>7</v>
      </c>
      <c r="B8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>
      <c r="A9" t="s">
        <v>9</v>
      </c>
      <c r="B9">
        <v>5.820097054169117E-6</v>
      </c>
      <c r="D9" s="5" t="s">
        <v>9</v>
      </c>
      <c r="E9" s="5">
        <v>0</v>
      </c>
      <c r="F9" s="5">
        <v>1</v>
      </c>
      <c r="G9" s="5">
        <v>-1</v>
      </c>
    </row>
    <row r="10" spans="1:7">
      <c r="A10" t="s">
        <v>10</v>
      </c>
      <c r="B10">
        <v>3.1557959291537131E-6</v>
      </c>
      <c r="D10" s="5" t="s">
        <v>10</v>
      </c>
      <c r="E10" s="5">
        <v>2</v>
      </c>
      <c r="F10" s="5">
        <v>0</v>
      </c>
      <c r="G10" s="5">
        <v>0</v>
      </c>
    </row>
    <row r="11" spans="1:7">
      <c r="A11" t="s">
        <v>11</v>
      </c>
      <c r="B11">
        <v>1.2829322402762908E-6</v>
      </c>
      <c r="D11" s="5" t="s">
        <v>11</v>
      </c>
      <c r="E11" s="5">
        <v>-2</v>
      </c>
      <c r="F11" s="5">
        <v>0</v>
      </c>
      <c r="G11" s="5">
        <v>0</v>
      </c>
    </row>
    <row r="13" spans="1:7" ht="15">
      <c r="E13">
        <f>(E9-E3)^2</f>
        <v>0</v>
      </c>
      <c r="F13">
        <f t="shared" ref="F13:G13" si="0">(F9-F3)^2</f>
        <v>5.9675691615101378</v>
      </c>
      <c r="G13">
        <f t="shared" si="0"/>
        <v>0.67788541586730078</v>
      </c>
    </row>
    <row r="14" spans="1:7" ht="15">
      <c r="E14">
        <f t="shared" ref="E14:G15" si="1">(E10-E4)^2</f>
        <v>2.9775788554315445</v>
      </c>
      <c r="F14">
        <f t="shared" si="1"/>
        <v>0</v>
      </c>
      <c r="G14">
        <f t="shared" si="1"/>
        <v>0</v>
      </c>
    </row>
    <row r="15" spans="1:7" ht="15">
      <c r="E15">
        <f>(E11-E5)^2</f>
        <v>9.342002857883714E-3</v>
      </c>
      <c r="F15">
        <f t="shared" si="1"/>
        <v>0</v>
      </c>
      <c r="G15">
        <f t="shared" si="1"/>
        <v>0</v>
      </c>
    </row>
    <row r="17" spans="4:5" ht="15">
      <c r="E17" s="9">
        <f>SUM(E13:G15)</f>
        <v>9.6323754356668658</v>
      </c>
    </row>
    <row r="19" spans="4:5" ht="15">
      <c r="D19" s="8"/>
    </row>
    <row r="20" spans="4:5" ht="15">
      <c r="D20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E17" sqref="E17"/>
    </sheetView>
  </sheetViews>
  <sheetFormatPr defaultRowHeight="14.25"/>
  <sheetData>
    <row r="1" spans="1:7" ht="15.75">
      <c r="A1" s="3" t="s">
        <v>29</v>
      </c>
    </row>
    <row r="2" spans="1:7">
      <c r="A2" t="s">
        <v>0</v>
      </c>
      <c r="B2" t="s">
        <v>1</v>
      </c>
      <c r="D2" t="s">
        <v>12</v>
      </c>
      <c r="E2" t="s">
        <v>9</v>
      </c>
      <c r="F2" t="s">
        <v>10</v>
      </c>
      <c r="G2" t="s">
        <v>11</v>
      </c>
    </row>
    <row r="3" spans="1:7">
      <c r="A3" t="s">
        <v>2</v>
      </c>
      <c r="B3">
        <v>5.3321966810025166E-8</v>
      </c>
      <c r="D3" t="s">
        <v>9</v>
      </c>
      <c r="E3">
        <v>0</v>
      </c>
      <c r="F3">
        <v>-1.0513644427801672</v>
      </c>
      <c r="G3">
        <v>2.0196214253872631</v>
      </c>
    </row>
    <row r="4" spans="1:7">
      <c r="A4" t="s">
        <v>3</v>
      </c>
      <c r="B4">
        <v>1.3984992356711037</v>
      </c>
      <c r="D4" t="s">
        <v>10</v>
      </c>
      <c r="E4">
        <v>-1.9971943252691224</v>
      </c>
      <c r="F4">
        <v>0</v>
      </c>
      <c r="G4">
        <v>0</v>
      </c>
    </row>
    <row r="5" spans="1:7">
      <c r="A5" t="s">
        <v>4</v>
      </c>
      <c r="B5">
        <v>0</v>
      </c>
      <c r="D5" t="s">
        <v>11</v>
      </c>
      <c r="E5">
        <v>0.54746159153892937</v>
      </c>
      <c r="F5">
        <v>0</v>
      </c>
      <c r="G5">
        <v>0</v>
      </c>
    </row>
    <row r="6" spans="1:7">
      <c r="A6" t="s">
        <v>5</v>
      </c>
      <c r="B6">
        <v>1562</v>
      </c>
    </row>
    <row r="7" spans="1:7">
      <c r="A7" t="s">
        <v>6</v>
      </c>
    </row>
    <row r="8" spans="1:7">
      <c r="A8" t="s">
        <v>7</v>
      </c>
      <c r="B8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>
      <c r="A9" t="s">
        <v>9</v>
      </c>
      <c r="B9">
        <v>6.505540292701604E-10</v>
      </c>
      <c r="D9" s="5" t="s">
        <v>9</v>
      </c>
      <c r="E9" s="5">
        <v>0</v>
      </c>
      <c r="F9" s="5">
        <v>-1</v>
      </c>
      <c r="G9" s="5">
        <v>2</v>
      </c>
    </row>
    <row r="10" spans="1:7">
      <c r="A10" t="s">
        <v>10</v>
      </c>
      <c r="B10">
        <v>1.3943146526730819E-9</v>
      </c>
      <c r="D10" s="5" t="s">
        <v>10</v>
      </c>
      <c r="E10" s="5">
        <v>-2</v>
      </c>
      <c r="F10" s="5">
        <v>0</v>
      </c>
      <c r="G10" s="5">
        <v>0</v>
      </c>
    </row>
    <row r="11" spans="1:7">
      <c r="A11" t="s">
        <v>11</v>
      </c>
      <c r="B11">
        <v>1.5792103174813225E-7</v>
      </c>
      <c r="D11" s="5" t="s">
        <v>11</v>
      </c>
      <c r="E11" s="5">
        <v>1</v>
      </c>
      <c r="F11" s="5">
        <v>0</v>
      </c>
      <c r="G11" s="5">
        <v>0</v>
      </c>
    </row>
    <row r="13" spans="1:7" ht="15">
      <c r="E13">
        <f>(E9-E3)^2</f>
        <v>0</v>
      </c>
      <c r="F13">
        <f t="shared" ref="F13:G13" si="0">(F9-F3)^2</f>
        <v>2.6383059821170666E-3</v>
      </c>
      <c r="G13">
        <f t="shared" si="0"/>
        <v>3.8500033422793215E-4</v>
      </c>
    </row>
    <row r="14" spans="1:7" ht="15">
      <c r="E14">
        <f t="shared" ref="E14:G15" si="1">(E10-E4)^2</f>
        <v>7.871810695484874E-6</v>
      </c>
      <c r="F14">
        <f t="shared" si="1"/>
        <v>0</v>
      </c>
      <c r="G14">
        <f t="shared" si="1"/>
        <v>0</v>
      </c>
    </row>
    <row r="15" spans="1:7" ht="15">
      <c r="E15">
        <f t="shared" si="1"/>
        <v>0.2047910111324788</v>
      </c>
      <c r="F15">
        <f t="shared" si="1"/>
        <v>0</v>
      </c>
      <c r="G15">
        <f t="shared" si="1"/>
        <v>0</v>
      </c>
    </row>
    <row r="17" spans="5:5" ht="15">
      <c r="E17" s="9">
        <f>SUM(E13:G15)</f>
        <v>0.20782218925951929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E17" sqref="E17"/>
    </sheetView>
  </sheetViews>
  <sheetFormatPr defaultRowHeight="14.25"/>
  <cols>
    <col min="5" max="5" width="12.25" bestFit="1" customWidth="1"/>
  </cols>
  <sheetData>
    <row r="1" spans="1:7" ht="15.75">
      <c r="A1" s="3" t="s">
        <v>29</v>
      </c>
    </row>
    <row r="2" spans="1:7">
      <c r="A2" t="s">
        <v>0</v>
      </c>
      <c r="B2" t="s">
        <v>1</v>
      </c>
      <c r="D2" t="s">
        <v>12</v>
      </c>
      <c r="E2" t="s">
        <v>9</v>
      </c>
      <c r="F2" t="s">
        <v>10</v>
      </c>
      <c r="G2" t="s">
        <v>11</v>
      </c>
    </row>
    <row r="3" spans="1:7">
      <c r="A3" t="s">
        <v>2</v>
      </c>
      <c r="B3">
        <v>5.2994652593042157E-13</v>
      </c>
      <c r="D3" t="s">
        <v>9</v>
      </c>
      <c r="E3">
        <v>0</v>
      </c>
      <c r="F3">
        <v>1.9999860453610894</v>
      </c>
      <c r="G3">
        <v>-1.9999671211973429</v>
      </c>
    </row>
    <row r="4" spans="1:7">
      <c r="A4" t="s">
        <v>3</v>
      </c>
      <c r="B4">
        <v>1.4687647029670059</v>
      </c>
      <c r="D4" t="s">
        <v>10</v>
      </c>
      <c r="E4">
        <v>0.99990713668165221</v>
      </c>
      <c r="F4">
        <v>0</v>
      </c>
      <c r="G4">
        <v>0</v>
      </c>
    </row>
    <row r="5" spans="1:7">
      <c r="A5" t="s">
        <v>4</v>
      </c>
      <c r="B5">
        <v>0</v>
      </c>
      <c r="D5" t="s">
        <v>11</v>
      </c>
      <c r="E5">
        <v>-1.0000021645368766</v>
      </c>
      <c r="F5">
        <v>0</v>
      </c>
      <c r="G5">
        <v>0</v>
      </c>
    </row>
    <row r="6" spans="1:7">
      <c r="A6" t="s">
        <v>5</v>
      </c>
      <c r="B6">
        <v>384</v>
      </c>
    </row>
    <row r="7" spans="1:7">
      <c r="A7" t="s">
        <v>6</v>
      </c>
    </row>
    <row r="8" spans="1:7">
      <c r="A8" t="s">
        <v>7</v>
      </c>
      <c r="B8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>
      <c r="A9" t="s">
        <v>9</v>
      </c>
      <c r="B9">
        <v>1.6561743293381748E-13</v>
      </c>
      <c r="D9" s="5" t="s">
        <v>9</v>
      </c>
      <c r="E9" s="5">
        <v>0</v>
      </c>
      <c r="F9" s="5">
        <v>2</v>
      </c>
      <c r="G9" s="5">
        <v>-2</v>
      </c>
    </row>
    <row r="10" spans="1:7">
      <c r="A10" t="s">
        <v>10</v>
      </c>
      <c r="B10">
        <v>1.3013782050026803E-12</v>
      </c>
      <c r="D10" s="5" t="s">
        <v>10</v>
      </c>
      <c r="E10" s="5">
        <v>1</v>
      </c>
      <c r="F10" s="5">
        <v>0</v>
      </c>
      <c r="G10" s="5">
        <v>0</v>
      </c>
    </row>
    <row r="11" spans="1:7">
      <c r="A11" t="s">
        <v>11</v>
      </c>
      <c r="B11">
        <v>1.228439398547667E-13</v>
      </c>
      <c r="D11" s="5" t="s">
        <v>11</v>
      </c>
      <c r="E11" s="5">
        <v>-1</v>
      </c>
      <c r="F11" s="5">
        <v>0</v>
      </c>
      <c r="G11" s="5">
        <v>0</v>
      </c>
    </row>
    <row r="13" spans="1:7" ht="15">
      <c r="E13">
        <f>(E9-E3)^2</f>
        <v>0</v>
      </c>
      <c r="F13">
        <f t="shared" ref="F13:G13" si="0">(F9-F3)^2</f>
        <v>1.9473194712604966E-10</v>
      </c>
      <c r="G13">
        <f t="shared" si="0"/>
        <v>1.081015664165933E-9</v>
      </c>
    </row>
    <row r="14" spans="1:7" ht="15">
      <c r="E14">
        <f t="shared" ref="E14:G15" si="1">(E10-E4)^2</f>
        <v>8.6235958945632051E-9</v>
      </c>
      <c r="F14">
        <f t="shared" si="1"/>
        <v>0</v>
      </c>
      <c r="G14">
        <f t="shared" si="1"/>
        <v>0</v>
      </c>
    </row>
    <row r="15" spans="1:7" ht="15">
      <c r="E15">
        <f t="shared" si="1"/>
        <v>4.6852198902713879E-12</v>
      </c>
      <c r="F15">
        <f t="shared" si="1"/>
        <v>0</v>
      </c>
      <c r="G15">
        <f t="shared" si="1"/>
        <v>0</v>
      </c>
    </row>
    <row r="17" spans="5:5" ht="15">
      <c r="E17" s="9">
        <f>SUM(E13:G15)</f>
        <v>9.9040287257454603E-9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E17" sqref="E17"/>
    </sheetView>
  </sheetViews>
  <sheetFormatPr defaultRowHeight="14.25"/>
  <sheetData>
    <row r="1" spans="1:7" ht="15.75">
      <c r="A1" s="3" t="s">
        <v>29</v>
      </c>
    </row>
    <row r="2" spans="1:7">
      <c r="A2" t="s">
        <v>0</v>
      </c>
      <c r="B2" t="s">
        <v>1</v>
      </c>
      <c r="D2" t="s">
        <v>12</v>
      </c>
      <c r="E2" t="s">
        <v>9</v>
      </c>
      <c r="F2" t="s">
        <v>10</v>
      </c>
      <c r="G2" t="s">
        <v>11</v>
      </c>
    </row>
    <row r="3" spans="1:7">
      <c r="A3" t="s">
        <v>2</v>
      </c>
      <c r="B3">
        <v>1.4284112393045445E-10</v>
      </c>
      <c r="D3" t="s">
        <v>9</v>
      </c>
      <c r="E3">
        <v>0</v>
      </c>
      <c r="F3">
        <v>-1.9619008933097932</v>
      </c>
      <c r="G3">
        <v>-1.0220146298125932</v>
      </c>
    </row>
    <row r="4" spans="1:7">
      <c r="A4" t="s">
        <v>3</v>
      </c>
      <c r="B4">
        <v>1.4531545152365271</v>
      </c>
      <c r="D4" t="s">
        <v>10</v>
      </c>
      <c r="E4">
        <v>0.99999805572125777</v>
      </c>
      <c r="F4">
        <v>0</v>
      </c>
      <c r="G4">
        <v>0</v>
      </c>
    </row>
    <row r="5" spans="1:7">
      <c r="A5" t="s">
        <v>4</v>
      </c>
      <c r="B5">
        <v>0</v>
      </c>
      <c r="D5" t="s">
        <v>11</v>
      </c>
      <c r="E5">
        <v>1.9999021383529023</v>
      </c>
      <c r="F5">
        <v>0</v>
      </c>
      <c r="G5">
        <v>0</v>
      </c>
    </row>
    <row r="6" spans="1:7">
      <c r="A6" t="s">
        <v>5</v>
      </c>
      <c r="B6">
        <v>5299</v>
      </c>
    </row>
    <row r="7" spans="1:7">
      <c r="A7" t="s">
        <v>6</v>
      </c>
    </row>
    <row r="8" spans="1:7">
      <c r="A8" t="s">
        <v>7</v>
      </c>
      <c r="B8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>
      <c r="A9" t="s">
        <v>9</v>
      </c>
      <c r="B9">
        <v>4.2275548205946127E-10</v>
      </c>
      <c r="D9" s="5" t="s">
        <v>9</v>
      </c>
      <c r="E9" s="5">
        <v>0</v>
      </c>
      <c r="F9" s="5">
        <v>-2</v>
      </c>
      <c r="G9" s="5">
        <v>-1</v>
      </c>
    </row>
    <row r="10" spans="1:7">
      <c r="A10" t="s">
        <v>10</v>
      </c>
      <c r="B10">
        <v>3.4980809258385496E-12</v>
      </c>
      <c r="D10" s="5" t="s">
        <v>10</v>
      </c>
      <c r="E10" s="5">
        <v>1</v>
      </c>
      <c r="F10" s="5">
        <v>0</v>
      </c>
      <c r="G10" s="5">
        <v>0</v>
      </c>
    </row>
    <row r="11" spans="1:7">
      <c r="A11" t="s">
        <v>11</v>
      </c>
      <c r="B11">
        <v>2.2698088060635321E-12</v>
      </c>
      <c r="D11" s="5" t="s">
        <v>11</v>
      </c>
      <c r="E11" s="5">
        <v>2</v>
      </c>
      <c r="F11" s="5">
        <v>0</v>
      </c>
      <c r="G11" s="5">
        <v>0</v>
      </c>
    </row>
    <row r="13" spans="1:7" ht="15">
      <c r="E13">
        <f>(E9-E3)^2</f>
        <v>0</v>
      </c>
      <c r="F13">
        <f t="shared" ref="F13:G13" si="0">(F9-F3)^2</f>
        <v>1.4515419305917586E-3</v>
      </c>
      <c r="G13">
        <f t="shared" si="0"/>
        <v>4.8464392578551589E-4</v>
      </c>
    </row>
    <row r="14" spans="1:7" ht="15">
      <c r="E14">
        <f t="shared" ref="E14:G15" si="1">(E10-E4)^2</f>
        <v>3.7802198274776238E-12</v>
      </c>
      <c r="F14">
        <f t="shared" si="1"/>
        <v>0</v>
      </c>
      <c r="G14">
        <f t="shared" si="1"/>
        <v>0</v>
      </c>
    </row>
    <row r="15" spans="1:7" ht="15">
      <c r="E15">
        <f t="shared" si="1"/>
        <v>9.5769019726719631E-9</v>
      </c>
      <c r="F15">
        <f t="shared" si="1"/>
        <v>0</v>
      </c>
      <c r="G15">
        <f t="shared" si="1"/>
        <v>0</v>
      </c>
    </row>
    <row r="17" spans="5:5" ht="15">
      <c r="E17" s="9">
        <f>SUM(E13:G15)</f>
        <v>1.9361954370594669E-3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E17" sqref="E17"/>
    </sheetView>
  </sheetViews>
  <sheetFormatPr defaultRowHeight="14.25"/>
  <sheetData>
    <row r="1" spans="1:7" ht="15.75">
      <c r="A1" s="3" t="s">
        <v>29</v>
      </c>
    </row>
    <row r="2" spans="1:7">
      <c r="A2" t="s">
        <v>0</v>
      </c>
      <c r="B2" t="s">
        <v>1</v>
      </c>
      <c r="D2" t="s">
        <v>12</v>
      </c>
      <c r="E2" t="s">
        <v>9</v>
      </c>
      <c r="F2" t="s">
        <v>10</v>
      </c>
      <c r="G2" t="s">
        <v>11</v>
      </c>
    </row>
    <row r="3" spans="1:7">
      <c r="A3" t="s">
        <v>2</v>
      </c>
      <c r="B3">
        <v>9.3305016439063385E-8</v>
      </c>
      <c r="D3" t="s">
        <v>9</v>
      </c>
      <c r="E3">
        <v>0</v>
      </c>
      <c r="F3">
        <v>-2.3138786228243808</v>
      </c>
      <c r="G3">
        <v>-0.8382267616584741</v>
      </c>
    </row>
    <row r="4" spans="1:7">
      <c r="A4" t="s">
        <v>3</v>
      </c>
      <c r="B4">
        <v>4.3104829155117281</v>
      </c>
      <c r="D4" t="s">
        <v>10</v>
      </c>
      <c r="E4">
        <v>1.7784720850269264</v>
      </c>
      <c r="F4">
        <v>0</v>
      </c>
      <c r="G4">
        <v>0</v>
      </c>
    </row>
    <row r="5" spans="1:7">
      <c r="A5" t="s">
        <v>4</v>
      </c>
      <c r="B5">
        <v>1.5802502107792703E-33</v>
      </c>
      <c r="D5" t="s">
        <v>11</v>
      </c>
      <c r="E5">
        <v>-1.9705397108890326</v>
      </c>
      <c r="F5">
        <v>0</v>
      </c>
      <c r="G5">
        <v>0</v>
      </c>
    </row>
    <row r="6" spans="1:7">
      <c r="A6" t="s">
        <v>5</v>
      </c>
      <c r="B6">
        <v>2993</v>
      </c>
    </row>
    <row r="7" spans="1:7">
      <c r="A7" t="s">
        <v>6</v>
      </c>
    </row>
    <row r="8" spans="1:7">
      <c r="A8" t="s">
        <v>7</v>
      </c>
      <c r="B8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>
      <c r="A9" t="s">
        <v>9</v>
      </c>
      <c r="B9">
        <v>8.3950891958727923E-8</v>
      </c>
      <c r="D9" s="5" t="s">
        <v>9</v>
      </c>
      <c r="E9" s="5">
        <v>0</v>
      </c>
      <c r="F9" s="5">
        <v>-1</v>
      </c>
      <c r="G9" s="5">
        <v>1</v>
      </c>
    </row>
    <row r="10" spans="1:7">
      <c r="A10" t="s">
        <v>10</v>
      </c>
      <c r="B10">
        <v>1.8427132031213444E-7</v>
      </c>
      <c r="D10" s="5" t="s">
        <v>10</v>
      </c>
      <c r="E10" s="5">
        <v>2</v>
      </c>
      <c r="F10" s="5">
        <v>0</v>
      </c>
      <c r="G10" s="5">
        <v>0</v>
      </c>
    </row>
    <row r="11" spans="1:7">
      <c r="A11" t="s">
        <v>11</v>
      </c>
      <c r="B11">
        <v>1.1692837046327802E-8</v>
      </c>
      <c r="D11" s="5" t="s">
        <v>11</v>
      </c>
      <c r="E11" s="5">
        <v>-2</v>
      </c>
      <c r="F11" s="5">
        <v>0</v>
      </c>
      <c r="G11" s="5">
        <v>0</v>
      </c>
    </row>
    <row r="13" spans="1:7" ht="15">
      <c r="E13">
        <f>(E9-E3)^2</f>
        <v>0</v>
      </c>
      <c r="F13">
        <f t="shared" ref="F13:G13" si="0">(F9-F3)^2</f>
        <v>1.7262770355148915</v>
      </c>
      <c r="G13">
        <f t="shared" si="0"/>
        <v>3.3790776272774008</v>
      </c>
    </row>
    <row r="14" spans="1:7" ht="15">
      <c r="E14">
        <f t="shared" ref="E14:G15" si="1">(E10-E4)^2</f>
        <v>4.9074617112317309E-2</v>
      </c>
      <c r="F14">
        <f t="shared" si="1"/>
        <v>0</v>
      </c>
      <c r="G14">
        <f t="shared" si="1"/>
        <v>0</v>
      </c>
    </row>
    <row r="15" spans="1:7" ht="15">
      <c r="E15">
        <f t="shared" si="1"/>
        <v>8.679086345017861E-4</v>
      </c>
      <c r="F15">
        <f t="shared" si="1"/>
        <v>0</v>
      </c>
      <c r="G15">
        <f t="shared" si="1"/>
        <v>0</v>
      </c>
    </row>
    <row r="17" spans="5:5" ht="15">
      <c r="E17" s="9">
        <f>SUM(E13:G15)</f>
        <v>5.1552971885391115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/>
  </sheetViews>
  <sheetFormatPr defaultRowHeight="14.25"/>
  <cols>
    <col min="5" max="5" width="12.25" bestFit="1" customWidth="1"/>
  </cols>
  <sheetData>
    <row r="1" spans="1:11" ht="15.75">
      <c r="A1" s="3" t="s">
        <v>29</v>
      </c>
    </row>
    <row r="2" spans="1:11">
      <c r="A2" t="s">
        <v>0</v>
      </c>
      <c r="B2" t="s">
        <v>1</v>
      </c>
      <c r="D2" t="s">
        <v>12</v>
      </c>
      <c r="E2" t="s">
        <v>9</v>
      </c>
      <c r="F2" t="s">
        <v>10</v>
      </c>
      <c r="G2" t="s">
        <v>11</v>
      </c>
    </row>
    <row r="3" spans="1:11">
      <c r="A3" t="s">
        <v>2</v>
      </c>
      <c r="B3">
        <v>1.0996438804715682E-11</v>
      </c>
      <c r="D3" t="s">
        <v>9</v>
      </c>
      <c r="E3">
        <v>0</v>
      </c>
      <c r="F3">
        <v>1.0001106383338463</v>
      </c>
      <c r="G3">
        <v>1.9995408743151426</v>
      </c>
    </row>
    <row r="4" spans="1:11">
      <c r="A4" t="s">
        <v>3</v>
      </c>
      <c r="B4">
        <v>1.4682684353525435</v>
      </c>
      <c r="D4" t="s">
        <v>10</v>
      </c>
      <c r="E4">
        <v>-1.9995826580381442</v>
      </c>
      <c r="F4">
        <v>0</v>
      </c>
      <c r="G4">
        <v>0</v>
      </c>
    </row>
    <row r="5" spans="1:11">
      <c r="A5" t="s">
        <v>4</v>
      </c>
      <c r="B5">
        <v>0</v>
      </c>
      <c r="D5" t="s">
        <v>11</v>
      </c>
      <c r="E5">
        <v>-0.99979513208757498</v>
      </c>
      <c r="F5">
        <v>0</v>
      </c>
      <c r="G5">
        <v>0</v>
      </c>
    </row>
    <row r="6" spans="1:11">
      <c r="A6" t="s">
        <v>5</v>
      </c>
      <c r="B6">
        <v>2503</v>
      </c>
    </row>
    <row r="7" spans="1:11">
      <c r="A7" t="s">
        <v>6</v>
      </c>
    </row>
    <row r="8" spans="1:11">
      <c r="A8" t="s">
        <v>7</v>
      </c>
      <c r="B8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11">
      <c r="A9" t="s">
        <v>9</v>
      </c>
      <c r="B9">
        <v>1.5371683421142746E-11</v>
      </c>
      <c r="D9" s="5" t="s">
        <v>9</v>
      </c>
      <c r="E9" s="5">
        <v>0</v>
      </c>
      <c r="F9" s="5">
        <v>1</v>
      </c>
      <c r="G9" s="5">
        <v>2</v>
      </c>
      <c r="I9" s="2"/>
      <c r="J9" s="2"/>
      <c r="K9" s="2"/>
    </row>
    <row r="10" spans="1:11">
      <c r="A10" t="s">
        <v>10</v>
      </c>
      <c r="B10">
        <v>1.0332904200589711E-11</v>
      </c>
      <c r="D10" s="5" t="s">
        <v>10</v>
      </c>
      <c r="E10" s="5">
        <v>-2</v>
      </c>
      <c r="F10" s="5">
        <v>0</v>
      </c>
      <c r="G10" s="5">
        <v>0</v>
      </c>
      <c r="I10" s="2"/>
      <c r="J10" s="2"/>
      <c r="K10" s="2"/>
    </row>
    <row r="11" spans="1:11">
      <c r="A11" t="s">
        <v>11</v>
      </c>
      <c r="B11">
        <v>7.2847287924145897E-12</v>
      </c>
      <c r="D11" s="5" t="s">
        <v>11</v>
      </c>
      <c r="E11" s="5">
        <v>-1</v>
      </c>
      <c r="F11" s="5">
        <v>0</v>
      </c>
      <c r="G11" s="5">
        <v>0</v>
      </c>
      <c r="I11" s="2"/>
      <c r="J11" s="2"/>
      <c r="K11" s="2"/>
    </row>
    <row r="13" spans="1:11" ht="15">
      <c r="E13">
        <f>(E9-E3)^2</f>
        <v>0</v>
      </c>
      <c r="F13">
        <f t="shared" ref="F13:G13" si="0">(F9-F3)^2</f>
        <v>1.2240840916280948E-8</v>
      </c>
      <c r="G13">
        <f t="shared" si="0"/>
        <v>2.1079639449577445E-7</v>
      </c>
    </row>
    <row r="14" spans="1:11" ht="15">
      <c r="E14">
        <f t="shared" ref="E14:G15" si="1">(E10-E4)^2</f>
        <v>1.7417431312567534E-7</v>
      </c>
      <c r="F14">
        <f t="shared" si="1"/>
        <v>0</v>
      </c>
      <c r="G14">
        <f t="shared" si="1"/>
        <v>0</v>
      </c>
    </row>
    <row r="15" spans="1:11" ht="15">
      <c r="E15">
        <f t="shared" si="1"/>
        <v>4.197086154138644E-8</v>
      </c>
      <c r="F15">
        <f t="shared" si="1"/>
        <v>0</v>
      </c>
      <c r="G15">
        <f t="shared" si="1"/>
        <v>0</v>
      </c>
    </row>
    <row r="17" spans="5:5" ht="15">
      <c r="E17" s="9">
        <f>SUM(E13:G15)</f>
        <v>4.3918241007911722E-7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E17" sqref="E17"/>
    </sheetView>
  </sheetViews>
  <sheetFormatPr defaultRowHeight="14.25"/>
  <sheetData>
    <row r="1" spans="1:7" ht="15.75">
      <c r="A1" s="3" t="s">
        <v>29</v>
      </c>
    </row>
    <row r="2" spans="1:7">
      <c r="A2" t="s">
        <v>0</v>
      </c>
      <c r="B2" t="s">
        <v>1</v>
      </c>
      <c r="D2" t="s">
        <v>12</v>
      </c>
      <c r="E2" t="s">
        <v>9</v>
      </c>
      <c r="F2" t="s">
        <v>10</v>
      </c>
      <c r="G2" t="s">
        <v>11</v>
      </c>
    </row>
    <row r="3" spans="1:7">
      <c r="A3" t="s">
        <v>2</v>
      </c>
      <c r="B3">
        <v>2.6236121455737186E-7</v>
      </c>
      <c r="D3" t="s">
        <v>9</v>
      </c>
      <c r="E3">
        <v>0</v>
      </c>
      <c r="F3">
        <v>8.3670770589938992E-2</v>
      </c>
      <c r="G3">
        <v>-2.9054075489190661</v>
      </c>
    </row>
    <row r="4" spans="1:7">
      <c r="A4" t="s">
        <v>3</v>
      </c>
      <c r="B4">
        <v>2.807929252501963</v>
      </c>
      <c r="D4" t="s">
        <v>10</v>
      </c>
      <c r="E4">
        <v>-0.98684871360279058</v>
      </c>
      <c r="F4">
        <v>0</v>
      </c>
      <c r="G4">
        <v>0</v>
      </c>
    </row>
    <row r="5" spans="1:7">
      <c r="A5" t="s">
        <v>4</v>
      </c>
      <c r="B5">
        <v>3.9506255269481758E-34</v>
      </c>
      <c r="D5" t="s">
        <v>11</v>
      </c>
      <c r="E5">
        <v>1.0194618222509204</v>
      </c>
      <c r="F5">
        <v>0</v>
      </c>
      <c r="G5">
        <v>0</v>
      </c>
    </row>
    <row r="6" spans="1:7">
      <c r="A6" t="s">
        <v>5</v>
      </c>
      <c r="B6">
        <v>2572</v>
      </c>
    </row>
    <row r="7" spans="1:7">
      <c r="A7" t="s">
        <v>6</v>
      </c>
    </row>
    <row r="8" spans="1:7">
      <c r="A8" t="s">
        <v>7</v>
      </c>
      <c r="B8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>
      <c r="A9" t="s">
        <v>9</v>
      </c>
      <c r="B9">
        <v>7.2497413387945318E-8</v>
      </c>
      <c r="D9" s="5" t="s">
        <v>9</v>
      </c>
      <c r="E9" s="5">
        <v>0</v>
      </c>
      <c r="F9" s="5">
        <v>2</v>
      </c>
      <c r="G9" s="5">
        <v>-2</v>
      </c>
    </row>
    <row r="10" spans="1:7">
      <c r="A10" t="s">
        <v>10</v>
      </c>
      <c r="B10">
        <v>2.1158950959666551E-9</v>
      </c>
      <c r="D10" s="5" t="s">
        <v>10</v>
      </c>
      <c r="E10" s="5">
        <v>-1</v>
      </c>
      <c r="F10" s="5">
        <v>0</v>
      </c>
      <c r="G10" s="5">
        <v>0</v>
      </c>
    </row>
    <row r="11" spans="1:7">
      <c r="A11" t="s">
        <v>11</v>
      </c>
      <c r="B11">
        <v>7.1247033518820355E-7</v>
      </c>
      <c r="D11" s="5" t="s">
        <v>11</v>
      </c>
      <c r="E11" s="5">
        <v>1</v>
      </c>
      <c r="F11" s="5">
        <v>0</v>
      </c>
      <c r="G11" s="5">
        <v>0</v>
      </c>
    </row>
    <row r="13" spans="1:7" ht="15">
      <c r="E13">
        <f>(E9-E3)^2</f>
        <v>0</v>
      </c>
      <c r="F13">
        <f t="shared" ref="F13:G13" si="0">(F9-F3)^2</f>
        <v>3.6723177154913578</v>
      </c>
      <c r="G13">
        <f t="shared" si="0"/>
        <v>0.81976282963963099</v>
      </c>
    </row>
    <row r="14" spans="1:7" ht="15">
      <c r="E14">
        <f t="shared" ref="E14:G15" si="1">(E10-E4)^2</f>
        <v>1.7295633390142543E-4</v>
      </c>
      <c r="F14">
        <f t="shared" si="1"/>
        <v>0</v>
      </c>
      <c r="G14">
        <f t="shared" si="1"/>
        <v>0</v>
      </c>
    </row>
    <row r="15" spans="1:7" ht="15">
      <c r="E15">
        <f t="shared" si="1"/>
        <v>3.7876252532642092E-4</v>
      </c>
      <c r="F15">
        <f t="shared" si="1"/>
        <v>0</v>
      </c>
      <c r="G15">
        <f t="shared" si="1"/>
        <v>0</v>
      </c>
    </row>
    <row r="17" spans="5:5" ht="15">
      <c r="E17" s="9">
        <f>SUM(E13:G15)</f>
        <v>4.4926322639902159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E17" sqref="E17"/>
    </sheetView>
  </sheetViews>
  <sheetFormatPr defaultRowHeight="14.25"/>
  <sheetData>
    <row r="1" spans="1:7" ht="15.75">
      <c r="A1" s="3" t="s">
        <v>29</v>
      </c>
    </row>
    <row r="2" spans="1:7">
      <c r="A2" t="s">
        <v>0</v>
      </c>
      <c r="B2" t="s">
        <v>1</v>
      </c>
      <c r="D2" t="s">
        <v>12</v>
      </c>
      <c r="E2" t="s">
        <v>9</v>
      </c>
      <c r="F2" t="s">
        <v>10</v>
      </c>
      <c r="G2" t="s">
        <v>11</v>
      </c>
    </row>
    <row r="3" spans="1:7">
      <c r="A3" t="s">
        <v>2</v>
      </c>
      <c r="B3">
        <v>6.0042914497368974E-10</v>
      </c>
      <c r="D3" t="s">
        <v>9</v>
      </c>
      <c r="E3">
        <v>0</v>
      </c>
      <c r="F3">
        <v>0.9271948524908783</v>
      </c>
      <c r="G3">
        <v>-2.02245126998853</v>
      </c>
    </row>
    <row r="4" spans="1:7">
      <c r="A4" t="s">
        <v>3</v>
      </c>
      <c r="B4">
        <v>1.4606362628063239</v>
      </c>
      <c r="D4" t="s">
        <v>10</v>
      </c>
      <c r="E4">
        <v>-0.99887858576641153</v>
      </c>
      <c r="F4">
        <v>0</v>
      </c>
      <c r="G4">
        <v>0</v>
      </c>
    </row>
    <row r="5" spans="1:7">
      <c r="A5" t="s">
        <v>4</v>
      </c>
      <c r="B5">
        <v>9.8765638173704394E-35</v>
      </c>
      <c r="D5" t="s">
        <v>11</v>
      </c>
      <c r="E5">
        <v>1.9947655474696129</v>
      </c>
      <c r="F5">
        <v>0</v>
      </c>
      <c r="G5">
        <v>0</v>
      </c>
    </row>
    <row r="6" spans="1:7">
      <c r="A6" t="s">
        <v>5</v>
      </c>
      <c r="B6">
        <v>9157</v>
      </c>
    </row>
    <row r="7" spans="1:7">
      <c r="A7" t="s">
        <v>6</v>
      </c>
    </row>
    <row r="8" spans="1:7">
      <c r="A8" t="s">
        <v>7</v>
      </c>
      <c r="B8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>
      <c r="A9" t="s">
        <v>9</v>
      </c>
      <c r="B9">
        <v>1.5015435219100135E-9</v>
      </c>
      <c r="D9" s="5" t="s">
        <v>9</v>
      </c>
      <c r="E9" s="5">
        <v>0</v>
      </c>
      <c r="F9" s="5">
        <v>1</v>
      </c>
      <c r="G9" s="5">
        <v>-2</v>
      </c>
    </row>
    <row r="10" spans="1:7">
      <c r="A10" t="s">
        <v>10</v>
      </c>
      <c r="B10">
        <v>1.3010371082373236E-10</v>
      </c>
      <c r="D10" s="5" t="s">
        <v>10</v>
      </c>
      <c r="E10" s="5">
        <v>-1</v>
      </c>
      <c r="F10" s="5">
        <v>0</v>
      </c>
      <c r="G10" s="5">
        <v>0</v>
      </c>
    </row>
    <row r="11" spans="1:7">
      <c r="A11" t="s">
        <v>11</v>
      </c>
      <c r="B11">
        <v>1.6964020218732365E-10</v>
      </c>
      <c r="D11" s="5" t="s">
        <v>11</v>
      </c>
      <c r="E11" s="5">
        <v>2</v>
      </c>
      <c r="F11" s="5">
        <v>0</v>
      </c>
      <c r="G11" s="5">
        <v>0</v>
      </c>
    </row>
    <row r="13" spans="1:7" ht="15">
      <c r="E13">
        <f>(E9-E3)^2</f>
        <v>0</v>
      </c>
      <c r="F13">
        <f t="shared" ref="F13:G13" si="0">(F9-F3)^2</f>
        <v>5.3005895038249701E-3</v>
      </c>
      <c r="G13">
        <f t="shared" si="0"/>
        <v>5.0405952409786684E-4</v>
      </c>
    </row>
    <row r="14" spans="1:7" ht="15">
      <c r="E14">
        <f t="shared" ref="E14:G15" si="1">(E10-E4)^2</f>
        <v>1.2575698832948136E-6</v>
      </c>
      <c r="F14">
        <f t="shared" si="1"/>
        <v>0</v>
      </c>
      <c r="G14">
        <f t="shared" si="1"/>
        <v>0</v>
      </c>
    </row>
    <row r="15" spans="1:7" ht="15">
      <c r="E15">
        <f t="shared" si="1"/>
        <v>2.7399493292876161E-5</v>
      </c>
      <c r="F15">
        <f t="shared" si="1"/>
        <v>0</v>
      </c>
      <c r="G15">
        <f t="shared" si="1"/>
        <v>0</v>
      </c>
    </row>
    <row r="17" spans="5:5" ht="15">
      <c r="E17" s="9">
        <f>SUM(E13:G15)</f>
        <v>5.8333060910990085E-3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E17" sqref="E17"/>
    </sheetView>
  </sheetViews>
  <sheetFormatPr defaultRowHeight="14.25"/>
  <sheetData>
    <row r="1" spans="1:7" ht="15.75">
      <c r="A1" s="3" t="s">
        <v>29</v>
      </c>
    </row>
    <row r="2" spans="1:7">
      <c r="A2" t="s">
        <v>0</v>
      </c>
      <c r="B2" t="s">
        <v>1</v>
      </c>
      <c r="D2" t="s">
        <v>12</v>
      </c>
      <c r="E2" t="s">
        <v>9</v>
      </c>
      <c r="F2" t="s">
        <v>10</v>
      </c>
      <c r="G2" t="s">
        <v>11</v>
      </c>
    </row>
    <row r="3" spans="1:7">
      <c r="A3" t="s">
        <v>2</v>
      </c>
      <c r="B3">
        <v>1.9255336379018222E-9</v>
      </c>
      <c r="D3" t="s">
        <v>9</v>
      </c>
      <c r="E3">
        <v>0</v>
      </c>
      <c r="F3">
        <v>-1.9025813472350452</v>
      </c>
      <c r="G3">
        <v>-1.1678516596828912</v>
      </c>
    </row>
    <row r="4" spans="1:7">
      <c r="A4" t="s">
        <v>3</v>
      </c>
      <c r="B4">
        <v>1.4685785951686199</v>
      </c>
      <c r="D4" t="s">
        <v>10</v>
      </c>
      <c r="E4">
        <v>2.0002796614430909</v>
      </c>
      <c r="F4">
        <v>0</v>
      </c>
      <c r="G4">
        <v>0</v>
      </c>
    </row>
    <row r="5" spans="1:7">
      <c r="A5" t="s">
        <v>4</v>
      </c>
      <c r="B5">
        <v>0</v>
      </c>
      <c r="D5" t="s">
        <v>11</v>
      </c>
      <c r="E5">
        <v>1.0000619659242598</v>
      </c>
      <c r="F5">
        <v>0</v>
      </c>
      <c r="G5">
        <v>0</v>
      </c>
    </row>
    <row r="6" spans="1:7">
      <c r="A6" t="s">
        <v>5</v>
      </c>
      <c r="B6">
        <v>5823</v>
      </c>
    </row>
    <row r="7" spans="1:7">
      <c r="A7" t="s">
        <v>6</v>
      </c>
    </row>
    <row r="8" spans="1:7">
      <c r="A8" t="s">
        <v>7</v>
      </c>
      <c r="B8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>
      <c r="A9" t="s">
        <v>9</v>
      </c>
      <c r="B9">
        <v>5.7264463155517626E-9</v>
      </c>
      <c r="D9" s="5" t="s">
        <v>9</v>
      </c>
      <c r="E9" s="5">
        <v>0</v>
      </c>
      <c r="F9" s="5">
        <v>-2</v>
      </c>
      <c r="G9" s="5">
        <v>-1</v>
      </c>
    </row>
    <row r="10" spans="1:7">
      <c r="A10" t="s">
        <v>10</v>
      </c>
      <c r="B10">
        <v>2.9404459238988608E-11</v>
      </c>
      <c r="D10" s="5" t="s">
        <v>10</v>
      </c>
      <c r="E10" s="5">
        <v>2</v>
      </c>
      <c r="F10" s="5">
        <v>0</v>
      </c>
      <c r="G10" s="5">
        <v>0</v>
      </c>
    </row>
    <row r="11" spans="1:7">
      <c r="A11" t="s">
        <v>11</v>
      </c>
      <c r="B11">
        <v>2.0750138914715933E-11</v>
      </c>
      <c r="D11" s="5" t="s">
        <v>11</v>
      </c>
      <c r="E11" s="5">
        <v>1</v>
      </c>
      <c r="F11" s="5">
        <v>0</v>
      </c>
      <c r="G11" s="5">
        <v>0</v>
      </c>
    </row>
    <row r="13" spans="1:7" ht="15">
      <c r="E13">
        <f>(E9-E3)^2</f>
        <v>0</v>
      </c>
      <c r="F13">
        <f t="shared" ref="F13:G13" si="0">(F9-F3)^2</f>
        <v>9.4903939065388281E-3</v>
      </c>
      <c r="G13">
        <f t="shared" si="0"/>
        <v>2.8174179658301116E-2</v>
      </c>
    </row>
    <row r="14" spans="1:7" ht="15">
      <c r="E14">
        <f t="shared" ref="E14:G15" si="1">(E10-E4)^2</f>
        <v>7.821052275167571E-8</v>
      </c>
      <c r="F14">
        <f t="shared" si="1"/>
        <v>0</v>
      </c>
      <c r="G14">
        <f t="shared" si="1"/>
        <v>0</v>
      </c>
    </row>
    <row r="15" spans="1:7" ht="15">
      <c r="E15">
        <f t="shared" si="1"/>
        <v>3.839775769368418E-9</v>
      </c>
      <c r="F15">
        <f t="shared" si="1"/>
        <v>0</v>
      </c>
      <c r="G15">
        <f t="shared" si="1"/>
        <v>0</v>
      </c>
    </row>
    <row r="17" spans="4:5" ht="15">
      <c r="E17" s="9">
        <f>SUM(E13:G15)</f>
        <v>3.7664655615138466E-2</v>
      </c>
    </row>
    <row r="20" spans="4:5" ht="15">
      <c r="D20" s="8"/>
    </row>
    <row r="21" spans="4:5" ht="15">
      <c r="D21" s="8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E17" sqref="E17"/>
    </sheetView>
  </sheetViews>
  <sheetFormatPr defaultRowHeight="14.25"/>
  <sheetData>
    <row r="1" spans="1:7" ht="15.75">
      <c r="A1" s="3" t="s">
        <v>29</v>
      </c>
    </row>
    <row r="2" spans="1:7">
      <c r="A2" t="s">
        <v>0</v>
      </c>
      <c r="B2" t="s">
        <v>1</v>
      </c>
      <c r="D2" t="s">
        <v>12</v>
      </c>
      <c r="E2" t="s">
        <v>9</v>
      </c>
      <c r="F2" t="s">
        <v>10</v>
      </c>
      <c r="G2" t="s">
        <v>11</v>
      </c>
    </row>
    <row r="3" spans="1:7">
      <c r="A3" t="s">
        <v>2</v>
      </c>
      <c r="B3">
        <v>6.0068130225224028E-10</v>
      </c>
      <c r="D3" t="s">
        <v>9</v>
      </c>
      <c r="E3">
        <v>0</v>
      </c>
      <c r="F3">
        <v>-1.0299224444216699</v>
      </c>
      <c r="G3">
        <v>1.9047377526881344</v>
      </c>
    </row>
    <row r="4" spans="1:7">
      <c r="A4" t="s">
        <v>3</v>
      </c>
      <c r="B4">
        <v>1.4184700715507483</v>
      </c>
      <c r="D4" t="s">
        <v>10</v>
      </c>
      <c r="E4">
        <v>0.98872995010191855</v>
      </c>
      <c r="F4">
        <v>0</v>
      </c>
      <c r="G4">
        <v>0</v>
      </c>
    </row>
    <row r="5" spans="1:7">
      <c r="A5" t="s">
        <v>4</v>
      </c>
      <c r="B5">
        <v>0</v>
      </c>
      <c r="D5" t="s">
        <v>11</v>
      </c>
      <c r="E5">
        <v>-1.9928961469411535</v>
      </c>
      <c r="F5">
        <v>0</v>
      </c>
      <c r="G5">
        <v>0</v>
      </c>
    </row>
    <row r="6" spans="1:7">
      <c r="A6" t="s">
        <v>5</v>
      </c>
      <c r="B6">
        <v>6446</v>
      </c>
    </row>
    <row r="7" spans="1:7">
      <c r="A7" t="s">
        <v>6</v>
      </c>
    </row>
    <row r="8" spans="1:7">
      <c r="A8" t="s">
        <v>7</v>
      </c>
      <c r="B8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>
      <c r="A9" t="s">
        <v>9</v>
      </c>
      <c r="B9">
        <v>5.2355832514102466E-10</v>
      </c>
      <c r="D9" s="5" t="s">
        <v>9</v>
      </c>
      <c r="E9" s="5">
        <v>0</v>
      </c>
      <c r="F9" s="5">
        <v>-1</v>
      </c>
      <c r="G9" s="5">
        <v>2</v>
      </c>
    </row>
    <row r="10" spans="1:7">
      <c r="A10" t="s">
        <v>10</v>
      </c>
      <c r="B10">
        <v>3.2701930298298121E-10</v>
      </c>
      <c r="D10" s="5" t="s">
        <v>10</v>
      </c>
      <c r="E10" s="5">
        <v>1</v>
      </c>
      <c r="F10" s="5">
        <v>0</v>
      </c>
      <c r="G10" s="5">
        <v>0</v>
      </c>
    </row>
    <row r="11" spans="1:7">
      <c r="A11" t="s">
        <v>11</v>
      </c>
      <c r="B11">
        <v>9.5146627863271511E-10</v>
      </c>
      <c r="D11" s="5" t="s">
        <v>11</v>
      </c>
      <c r="E11" s="5">
        <v>-2</v>
      </c>
      <c r="F11" s="5">
        <v>0</v>
      </c>
      <c r="G11" s="5">
        <v>0</v>
      </c>
    </row>
    <row r="13" spans="1:7" ht="15">
      <c r="E13">
        <f>(E9-E3)^2</f>
        <v>0</v>
      </c>
      <c r="F13">
        <f t="shared" ref="F13:G13" si="0">(F9-F3)^2</f>
        <v>8.9535268016792489E-4</v>
      </c>
      <c r="G13">
        <f t="shared" si="0"/>
        <v>9.0748957629070461E-3</v>
      </c>
    </row>
    <row r="14" spans="1:7" ht="15">
      <c r="E14">
        <f t="shared" ref="E14:G15" si="1">(E10-E4)^2</f>
        <v>1.2701402470524564E-4</v>
      </c>
      <c r="F14">
        <f t="shared" si="1"/>
        <v>0</v>
      </c>
      <c r="G14">
        <f t="shared" si="1"/>
        <v>0</v>
      </c>
    </row>
    <row r="15" spans="1:7" ht="15">
      <c r="E15">
        <f t="shared" si="1"/>
        <v>5.0464728281683227E-5</v>
      </c>
      <c r="F15">
        <f t="shared" si="1"/>
        <v>0</v>
      </c>
      <c r="G15">
        <f t="shared" si="1"/>
        <v>0</v>
      </c>
    </row>
    <row r="17" spans="5:5" ht="15">
      <c r="E17" s="9">
        <f>SUM(E13:G15)</f>
        <v>1.01477271960619E-2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E17" sqref="E17"/>
    </sheetView>
  </sheetViews>
  <sheetFormatPr defaultRowHeight="14.25"/>
  <cols>
    <col min="5" max="5" width="12.25" bestFit="1" customWidth="1"/>
  </cols>
  <sheetData>
    <row r="1" spans="1:7" ht="15.75">
      <c r="A1" s="3" t="s">
        <v>28</v>
      </c>
    </row>
    <row r="2" spans="1:7">
      <c r="A2" t="s">
        <v>0</v>
      </c>
      <c r="B2" t="s">
        <v>1</v>
      </c>
      <c r="D2" t="s">
        <v>12</v>
      </c>
      <c r="E2" t="s">
        <v>9</v>
      </c>
      <c r="F2" t="s">
        <v>10</v>
      </c>
      <c r="G2" t="s">
        <v>11</v>
      </c>
    </row>
    <row r="3" spans="1:7">
      <c r="A3" t="s">
        <v>2</v>
      </c>
      <c r="B3">
        <v>7.7073405536649882E-12</v>
      </c>
      <c r="D3" t="s">
        <v>9</v>
      </c>
      <c r="E3">
        <v>0</v>
      </c>
      <c r="F3">
        <v>1.9992985133889449</v>
      </c>
      <c r="G3">
        <v>0.99878617729858443</v>
      </c>
    </row>
    <row r="4" spans="1:7">
      <c r="A4" t="s">
        <v>3</v>
      </c>
      <c r="B4">
        <v>1.4677892782079276</v>
      </c>
      <c r="D4" t="s">
        <v>10</v>
      </c>
      <c r="E4">
        <v>-1.9996154181157968</v>
      </c>
      <c r="F4">
        <v>0</v>
      </c>
      <c r="G4">
        <v>0</v>
      </c>
    </row>
    <row r="5" spans="1:7">
      <c r="A5" t="s">
        <v>4</v>
      </c>
      <c r="B5">
        <v>0</v>
      </c>
      <c r="D5" t="s">
        <v>11</v>
      </c>
      <c r="E5">
        <v>-0.99983325095216791</v>
      </c>
      <c r="F5">
        <v>0</v>
      </c>
      <c r="G5">
        <v>0</v>
      </c>
    </row>
    <row r="6" spans="1:7">
      <c r="A6" t="s">
        <v>5</v>
      </c>
      <c r="B6">
        <v>2427</v>
      </c>
    </row>
    <row r="7" spans="1:7">
      <c r="A7" t="s">
        <v>6</v>
      </c>
    </row>
    <row r="8" spans="1:7">
      <c r="A8" t="s">
        <v>7</v>
      </c>
      <c r="B8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>
      <c r="A9" t="s">
        <v>9</v>
      </c>
      <c r="B9">
        <v>1.2758036894930521E-11</v>
      </c>
      <c r="D9" s="5" t="s">
        <v>9</v>
      </c>
      <c r="E9" s="5">
        <v>0</v>
      </c>
      <c r="F9" s="5">
        <v>2</v>
      </c>
      <c r="G9" s="5">
        <v>1</v>
      </c>
    </row>
    <row r="10" spans="1:7">
      <c r="A10" t="s">
        <v>10</v>
      </c>
      <c r="B10">
        <v>8.3807920347607832E-12</v>
      </c>
      <c r="D10" s="5" t="s">
        <v>10</v>
      </c>
      <c r="E10" s="5">
        <v>-2</v>
      </c>
      <c r="F10" s="5">
        <v>0</v>
      </c>
      <c r="G10" s="5">
        <v>0</v>
      </c>
    </row>
    <row r="11" spans="1:7">
      <c r="A11" t="s">
        <v>11</v>
      </c>
      <c r="B11">
        <v>1.9831927313036665E-12</v>
      </c>
      <c r="D11" s="5" t="s">
        <v>11</v>
      </c>
      <c r="E11" s="5">
        <v>-1</v>
      </c>
      <c r="F11" s="5">
        <v>0</v>
      </c>
      <c r="G11" s="5">
        <v>0</v>
      </c>
    </row>
    <row r="13" spans="1:7" ht="15">
      <c r="E13">
        <f>(E9-E3)^2</f>
        <v>0</v>
      </c>
      <c r="F13">
        <f t="shared" ref="F13:G13" si="0">(F9-F3)^2</f>
        <v>4.920834654895254E-7</v>
      </c>
      <c r="G13">
        <f t="shared" si="0"/>
        <v>1.4733655504717867E-6</v>
      </c>
    </row>
    <row r="14" spans="1:7" ht="15">
      <c r="E14">
        <f t="shared" ref="E14:G15" si="1">(E10-E4)^2</f>
        <v>1.4790322565728785E-7</v>
      </c>
      <c r="F14">
        <f t="shared" si="1"/>
        <v>0</v>
      </c>
      <c r="G14">
        <f t="shared" si="1"/>
        <v>0</v>
      </c>
    </row>
    <row r="15" spans="1:7" ht="15">
      <c r="E15">
        <f t="shared" si="1"/>
        <v>2.7805244952909708E-8</v>
      </c>
      <c r="F15">
        <f t="shared" si="1"/>
        <v>0</v>
      </c>
      <c r="G15">
        <f t="shared" si="1"/>
        <v>0</v>
      </c>
    </row>
    <row r="17" spans="5:5" ht="15">
      <c r="E17" s="9">
        <f>SUM(E13:G15)</f>
        <v>2.1411574865715097E-6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E17" sqref="E17"/>
    </sheetView>
  </sheetViews>
  <sheetFormatPr defaultRowHeight="14.25"/>
  <sheetData>
    <row r="1" spans="1:7" ht="15.75">
      <c r="A1" s="3" t="s">
        <v>27</v>
      </c>
    </row>
    <row r="2" spans="1:7">
      <c r="A2" t="s">
        <v>0</v>
      </c>
      <c r="B2" t="s">
        <v>1</v>
      </c>
      <c r="D2" t="s">
        <v>12</v>
      </c>
      <c r="E2" t="s">
        <v>9</v>
      </c>
      <c r="F2" t="s">
        <v>10</v>
      </c>
      <c r="G2" t="s">
        <v>11</v>
      </c>
    </row>
    <row r="3" spans="1:7">
      <c r="A3" t="s">
        <v>2</v>
      </c>
      <c r="B3">
        <v>9.0923625986974295E-8</v>
      </c>
      <c r="D3" t="s">
        <v>9</v>
      </c>
      <c r="E3">
        <v>0</v>
      </c>
      <c r="F3">
        <v>-0.8530776393122611</v>
      </c>
      <c r="G3">
        <v>-2.3278418333438955</v>
      </c>
    </row>
    <row r="4" spans="1:7">
      <c r="A4" t="s">
        <v>3</v>
      </c>
      <c r="B4">
        <v>4.4609821096704181</v>
      </c>
      <c r="D4" t="s">
        <v>10</v>
      </c>
      <c r="E4">
        <v>-1.9706090520229842</v>
      </c>
      <c r="F4">
        <v>0</v>
      </c>
      <c r="G4">
        <v>0</v>
      </c>
    </row>
    <row r="5" spans="1:7">
      <c r="A5" t="s">
        <v>4</v>
      </c>
      <c r="B5">
        <v>1.5802502107792703E-33</v>
      </c>
      <c r="D5" t="s">
        <v>11</v>
      </c>
      <c r="E5">
        <v>1.7778492968393795</v>
      </c>
      <c r="F5">
        <v>0</v>
      </c>
      <c r="G5">
        <v>0</v>
      </c>
    </row>
    <row r="6" spans="1:7">
      <c r="A6" t="s">
        <v>5</v>
      </c>
      <c r="B6">
        <v>2510</v>
      </c>
    </row>
    <row r="7" spans="1:7">
      <c r="A7" t="s">
        <v>6</v>
      </c>
    </row>
    <row r="8" spans="1:7">
      <c r="A8" t="s">
        <v>7</v>
      </c>
      <c r="B8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>
      <c r="A9" t="s">
        <v>9</v>
      </c>
      <c r="B9">
        <v>7.9714698554268714E-8</v>
      </c>
      <c r="D9" s="5" t="s">
        <v>9</v>
      </c>
      <c r="E9" s="5">
        <v>0</v>
      </c>
      <c r="F9" s="5">
        <v>1</v>
      </c>
      <c r="G9" s="5">
        <v>-1</v>
      </c>
    </row>
    <row r="10" spans="1:7">
      <c r="A10" t="s">
        <v>10</v>
      </c>
      <c r="B10">
        <v>1.1683714219098942E-8</v>
      </c>
      <c r="D10" s="5" t="s">
        <v>10</v>
      </c>
      <c r="E10" s="5">
        <v>-2</v>
      </c>
      <c r="F10" s="5">
        <v>0</v>
      </c>
      <c r="G10" s="5">
        <v>0</v>
      </c>
    </row>
    <row r="11" spans="1:7">
      <c r="A11" t="s">
        <v>11</v>
      </c>
      <c r="B11">
        <v>1.8137246518755521E-7</v>
      </c>
      <c r="D11" s="5" t="s">
        <v>11</v>
      </c>
      <c r="E11" s="5">
        <v>2</v>
      </c>
      <c r="F11" s="5">
        <v>0</v>
      </c>
      <c r="G11" s="5">
        <v>0</v>
      </c>
    </row>
    <row r="13" spans="1:7" ht="15">
      <c r="E13">
        <f>(E9-E3)^2</f>
        <v>0</v>
      </c>
      <c r="F13">
        <f t="shared" ref="F13:G13" si="0">(F9-F3)^2</f>
        <v>3.4338967373191029</v>
      </c>
      <c r="G13">
        <f t="shared" si="0"/>
        <v>1.7631639343780776</v>
      </c>
    </row>
    <row r="14" spans="1:7" ht="15">
      <c r="E14">
        <f t="shared" ref="E14:G15" si="1">(E10-E4)^2</f>
        <v>8.6382782298764923E-4</v>
      </c>
      <c r="F14">
        <f t="shared" si="1"/>
        <v>0</v>
      </c>
      <c r="G14">
        <f t="shared" si="1"/>
        <v>0</v>
      </c>
    </row>
    <row r="15" spans="1:7" ht="15">
      <c r="E15">
        <f t="shared" si="1"/>
        <v>4.9350934914758109E-2</v>
      </c>
      <c r="F15">
        <f t="shared" si="1"/>
        <v>0</v>
      </c>
      <c r="G15">
        <f t="shared" si="1"/>
        <v>0</v>
      </c>
    </row>
    <row r="17" spans="5:5" ht="15">
      <c r="E17" s="9">
        <f>SUM(E13:G15)</f>
        <v>5.2472754344349264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>
      <selection activeCell="E17" sqref="E17"/>
    </sheetView>
  </sheetViews>
  <sheetFormatPr defaultRowHeight="14.25"/>
  <sheetData>
    <row r="1" spans="1:12" ht="15.75">
      <c r="A1" s="3" t="s">
        <v>27</v>
      </c>
    </row>
    <row r="2" spans="1:12" ht="15">
      <c r="A2" t="s">
        <v>0</v>
      </c>
      <c r="B2" t="s">
        <v>1</v>
      </c>
      <c r="D2" t="s">
        <v>12</v>
      </c>
      <c r="E2" t="s">
        <v>9</v>
      </c>
      <c r="F2" t="s">
        <v>10</v>
      </c>
      <c r="G2" t="s">
        <v>11</v>
      </c>
      <c r="I2" s="1" t="s">
        <v>12</v>
      </c>
      <c r="J2" s="1" t="s">
        <v>9</v>
      </c>
      <c r="K2" s="1" t="s">
        <v>10</v>
      </c>
      <c r="L2" s="1" t="s">
        <v>11</v>
      </c>
    </row>
    <row r="3" spans="1:12" ht="15">
      <c r="A3" t="s">
        <v>2</v>
      </c>
      <c r="B3">
        <v>4.203789801862726E-11</v>
      </c>
      <c r="D3" t="s">
        <v>9</v>
      </c>
      <c r="E3">
        <v>0</v>
      </c>
      <c r="F3">
        <v>-1.0119342923475749</v>
      </c>
      <c r="G3">
        <v>-1.979368670754782</v>
      </c>
      <c r="I3" s="1" t="s">
        <v>9</v>
      </c>
      <c r="J3" s="1">
        <v>0</v>
      </c>
      <c r="K3" s="1" t="s">
        <v>21</v>
      </c>
      <c r="L3" s="1" t="s">
        <v>22</v>
      </c>
    </row>
    <row r="4" spans="1:12" ht="15">
      <c r="A4" t="s">
        <v>3</v>
      </c>
      <c r="B4">
        <v>1.4602615366984002</v>
      </c>
      <c r="D4" t="s">
        <v>10</v>
      </c>
      <c r="E4">
        <v>1.9999368105664677</v>
      </c>
      <c r="F4">
        <v>0</v>
      </c>
      <c r="G4">
        <v>0</v>
      </c>
      <c r="I4" s="1" t="s">
        <v>10</v>
      </c>
      <c r="J4" s="1" t="s">
        <v>19</v>
      </c>
      <c r="K4" s="1">
        <v>0</v>
      </c>
      <c r="L4" s="1">
        <v>0</v>
      </c>
    </row>
    <row r="5" spans="1:12" ht="15">
      <c r="A5" t="s">
        <v>4</v>
      </c>
      <c r="B5">
        <v>0</v>
      </c>
      <c r="D5" t="s">
        <v>11</v>
      </c>
      <c r="E5">
        <v>0.99999227970948856</v>
      </c>
      <c r="F5">
        <v>0</v>
      </c>
      <c r="G5">
        <v>0</v>
      </c>
      <c r="I5" s="1" t="s">
        <v>11</v>
      </c>
      <c r="J5" s="1" t="s">
        <v>20</v>
      </c>
      <c r="K5" s="1">
        <v>0</v>
      </c>
      <c r="L5" s="1">
        <v>0</v>
      </c>
    </row>
    <row r="6" spans="1:12">
      <c r="A6" t="s">
        <v>5</v>
      </c>
      <c r="B6">
        <v>5642</v>
      </c>
    </row>
    <row r="7" spans="1:12">
      <c r="A7" t="s">
        <v>6</v>
      </c>
    </row>
    <row r="8" spans="1:12">
      <c r="A8" t="s">
        <v>7</v>
      </c>
      <c r="B8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12">
      <c r="A9" t="s">
        <v>9</v>
      </c>
      <c r="B9">
        <v>1.2450346125054239E-10</v>
      </c>
      <c r="D9" s="5" t="s">
        <v>9</v>
      </c>
      <c r="E9" s="5">
        <v>0</v>
      </c>
      <c r="F9" s="5">
        <v>-1</v>
      </c>
      <c r="G9" s="5">
        <v>-2</v>
      </c>
    </row>
    <row r="10" spans="1:12">
      <c r="A10" t="s">
        <v>10</v>
      </c>
      <c r="B10">
        <v>1.0621373724552552E-12</v>
      </c>
      <c r="D10" s="5" t="s">
        <v>10</v>
      </c>
      <c r="E10" s="5">
        <v>2</v>
      </c>
      <c r="F10" s="5">
        <v>0</v>
      </c>
      <c r="G10" s="5">
        <v>0</v>
      </c>
    </row>
    <row r="11" spans="1:12">
      <c r="A11" t="s">
        <v>11</v>
      </c>
      <c r="B11">
        <v>5.4809543288413917E-13</v>
      </c>
      <c r="D11" s="5" t="s">
        <v>11</v>
      </c>
      <c r="E11" s="5">
        <v>1</v>
      </c>
      <c r="F11" s="5">
        <v>0</v>
      </c>
      <c r="G11" s="5">
        <v>0</v>
      </c>
    </row>
    <row r="13" spans="1:12" ht="15">
      <c r="E13">
        <f>(E9-E3)^2</f>
        <v>0</v>
      </c>
      <c r="F13">
        <f t="shared" ref="F13:G13" si="0">(F9-F3)^2</f>
        <v>1.4242733383738545E-4</v>
      </c>
      <c r="G13">
        <f t="shared" si="0"/>
        <v>4.2565174642458933E-4</v>
      </c>
    </row>
    <row r="14" spans="1:12" ht="15">
      <c r="E14">
        <f t="shared" ref="E14:G15" si="1">(E10-E4)^2</f>
        <v>3.9929045101380388E-9</v>
      </c>
      <c r="F14">
        <f t="shared" si="1"/>
        <v>0</v>
      </c>
      <c r="G14">
        <f t="shared" si="1"/>
        <v>0</v>
      </c>
    </row>
    <row r="15" spans="1:12" ht="15">
      <c r="E15">
        <f t="shared" si="1"/>
        <v>5.9602885580985384E-11</v>
      </c>
      <c r="F15">
        <f t="shared" si="1"/>
        <v>0</v>
      </c>
      <c r="G15">
        <f t="shared" si="1"/>
        <v>0</v>
      </c>
    </row>
    <row r="17" spans="5:5" ht="15">
      <c r="E17" s="9">
        <f>SUM(E13:G15)</f>
        <v>5.6808313276937052E-4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E17" sqref="E17"/>
    </sheetView>
  </sheetViews>
  <sheetFormatPr defaultRowHeight="14.25"/>
  <cols>
    <col min="1" max="1" width="14.75" bestFit="1" customWidth="1"/>
    <col min="2" max="2" width="13.75" bestFit="1" customWidth="1"/>
    <col min="4" max="4" width="13.375" customWidth="1"/>
    <col min="5" max="5" width="13.75" bestFit="1" customWidth="1"/>
    <col min="6" max="6" width="14.375" bestFit="1" customWidth="1"/>
    <col min="7" max="7" width="13.75" bestFit="1" customWidth="1"/>
  </cols>
  <sheetData>
    <row r="1" spans="1:7" ht="15.75">
      <c r="A1" s="3" t="s">
        <v>26</v>
      </c>
    </row>
    <row r="2" spans="1:7">
      <c r="A2" t="s">
        <v>0</v>
      </c>
      <c r="B2" t="s">
        <v>1</v>
      </c>
      <c r="D2" t="s">
        <v>12</v>
      </c>
      <c r="E2" t="s">
        <v>9</v>
      </c>
      <c r="F2" t="s">
        <v>10</v>
      </c>
      <c r="G2" t="s">
        <v>11</v>
      </c>
    </row>
    <row r="3" spans="1:7">
      <c r="A3" t="s">
        <v>2</v>
      </c>
      <c r="B3">
        <v>2.604953393410294E-7</v>
      </c>
      <c r="D3" t="s">
        <v>9</v>
      </c>
      <c r="E3">
        <v>0</v>
      </c>
      <c r="F3">
        <v>-2.9240141715152768</v>
      </c>
      <c r="G3">
        <v>5.8895019128497553E-2</v>
      </c>
    </row>
    <row r="4" spans="1:7">
      <c r="A4" t="s">
        <v>3</v>
      </c>
      <c r="B4">
        <v>2.9321531381426333</v>
      </c>
      <c r="D4" t="s">
        <v>10</v>
      </c>
      <c r="E4">
        <v>1.0198463102773134</v>
      </c>
      <c r="F4">
        <v>0</v>
      </c>
      <c r="G4">
        <v>0</v>
      </c>
    </row>
    <row r="5" spans="1:7">
      <c r="A5" t="s">
        <v>4</v>
      </c>
      <c r="B5">
        <v>3.9506255269481758E-34</v>
      </c>
      <c r="D5" t="s">
        <v>11</v>
      </c>
      <c r="E5">
        <v>-0.98703346599708952</v>
      </c>
      <c r="F5">
        <v>0</v>
      </c>
      <c r="G5">
        <v>0</v>
      </c>
    </row>
    <row r="6" spans="1:7">
      <c r="A6" t="s">
        <v>5</v>
      </c>
      <c r="B6">
        <v>2392</v>
      </c>
    </row>
    <row r="7" spans="1:7">
      <c r="A7" t="s">
        <v>6</v>
      </c>
    </row>
    <row r="8" spans="1:7">
      <c r="A8" t="s">
        <v>7</v>
      </c>
      <c r="B8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>
      <c r="A9" t="s">
        <v>9</v>
      </c>
      <c r="B9">
        <v>7.0562159976634217E-8</v>
      </c>
      <c r="D9" s="5" t="s">
        <v>9</v>
      </c>
      <c r="E9" s="5">
        <v>0</v>
      </c>
      <c r="F9" s="5">
        <v>-2</v>
      </c>
      <c r="G9" s="5">
        <v>2</v>
      </c>
    </row>
    <row r="10" spans="1:7">
      <c r="A10" t="s">
        <v>10</v>
      </c>
      <c r="B10">
        <v>7.0906361186002595E-7</v>
      </c>
      <c r="D10" s="5" t="s">
        <v>10</v>
      </c>
      <c r="E10" s="5">
        <v>1</v>
      </c>
      <c r="F10" s="5">
        <v>0</v>
      </c>
      <c r="G10" s="5">
        <v>0</v>
      </c>
    </row>
    <row r="11" spans="1:7">
      <c r="A11" t="s">
        <v>11</v>
      </c>
      <c r="B11">
        <v>1.8602461864280183E-9</v>
      </c>
      <c r="D11" s="5" t="s">
        <v>11</v>
      </c>
      <c r="E11" s="5">
        <v>-1</v>
      </c>
      <c r="F11" s="5">
        <v>0</v>
      </c>
      <c r="G11" s="5">
        <v>0</v>
      </c>
    </row>
    <row r="13" spans="1:7" ht="15">
      <c r="E13">
        <f>(E9-E3)^2</f>
        <v>0</v>
      </c>
      <c r="F13">
        <f t="shared" ref="F13:G13" si="0">(F9-F3)^2</f>
        <v>0.85380218916106332</v>
      </c>
      <c r="G13">
        <f t="shared" si="0"/>
        <v>3.7678885467641559</v>
      </c>
    </row>
    <row r="14" spans="1:7" ht="15">
      <c r="E14">
        <f t="shared" ref="E14:G14" si="1">(E10-E4)^2</f>
        <v>3.9387603162339659E-4</v>
      </c>
      <c r="F14">
        <f t="shared" si="1"/>
        <v>0</v>
      </c>
      <c r="G14">
        <f t="shared" si="1"/>
        <v>0</v>
      </c>
    </row>
    <row r="15" spans="1:7" ht="15">
      <c r="E15">
        <f t="shared" ref="E15:G15" si="2">(E11-E5)^2</f>
        <v>1.6813100404863365E-4</v>
      </c>
      <c r="F15">
        <f t="shared" si="2"/>
        <v>0</v>
      </c>
      <c r="G15">
        <f t="shared" si="2"/>
        <v>0</v>
      </c>
    </row>
    <row r="17" spans="5:5" ht="15">
      <c r="E17" s="9">
        <f>SUM(E13:G15)</f>
        <v>4.6222527429608915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B3" sqref="B3"/>
    </sheetView>
  </sheetViews>
  <sheetFormatPr defaultRowHeight="14.25"/>
  <cols>
    <col min="1" max="1" width="12.25" bestFit="1" customWidth="1"/>
    <col min="2" max="2" width="13.75" bestFit="1" customWidth="1"/>
    <col min="4" max="4" width="12.375" customWidth="1"/>
    <col min="5" max="5" width="13.75" bestFit="1" customWidth="1"/>
    <col min="6" max="6" width="14.375" bestFit="1" customWidth="1"/>
    <col min="7" max="7" width="13.75" bestFit="1" customWidth="1"/>
  </cols>
  <sheetData>
    <row r="1" spans="1:7" ht="15.75">
      <c r="A1" s="3" t="s">
        <v>26</v>
      </c>
    </row>
    <row r="2" spans="1:7">
      <c r="A2" t="s">
        <v>0</v>
      </c>
      <c r="B2" t="s">
        <v>1</v>
      </c>
      <c r="D2" t="s">
        <v>12</v>
      </c>
      <c r="E2" t="s">
        <v>9</v>
      </c>
      <c r="F2" t="s">
        <v>10</v>
      </c>
      <c r="G2" t="s">
        <v>11</v>
      </c>
    </row>
    <row r="3" spans="1:7">
      <c r="A3" t="s">
        <v>2</v>
      </c>
      <c r="B3">
        <v>1.3006038135289506E-12</v>
      </c>
      <c r="D3" t="s">
        <v>9</v>
      </c>
      <c r="E3">
        <v>0</v>
      </c>
      <c r="F3">
        <v>1.9997207487508171</v>
      </c>
      <c r="G3">
        <v>0.99995085103650638</v>
      </c>
    </row>
    <row r="4" spans="1:7">
      <c r="A4" t="s">
        <v>3</v>
      </c>
      <c r="B4">
        <v>1.4685421268552246</v>
      </c>
      <c r="D4" t="s">
        <v>10</v>
      </c>
      <c r="E4">
        <v>-0.99993276085099125</v>
      </c>
      <c r="F4">
        <v>0</v>
      </c>
      <c r="G4">
        <v>0</v>
      </c>
    </row>
    <row r="5" spans="1:7">
      <c r="A5" t="s">
        <v>4</v>
      </c>
      <c r="B5">
        <v>0</v>
      </c>
      <c r="D5" t="s">
        <v>11</v>
      </c>
      <c r="E5">
        <v>-1.9998676566896576</v>
      </c>
      <c r="F5">
        <v>0</v>
      </c>
      <c r="G5">
        <v>0</v>
      </c>
    </row>
    <row r="6" spans="1:7">
      <c r="A6" t="s">
        <v>5</v>
      </c>
      <c r="B6">
        <v>5132</v>
      </c>
    </row>
    <row r="7" spans="1:7">
      <c r="A7" t="s">
        <v>6</v>
      </c>
    </row>
    <row r="8" spans="1:7">
      <c r="A8" t="s">
        <v>7</v>
      </c>
      <c r="B8" t="s">
        <v>8</v>
      </c>
      <c r="D8" s="2" t="s">
        <v>12</v>
      </c>
      <c r="E8" s="2" t="s">
        <v>9</v>
      </c>
      <c r="F8" s="2" t="s">
        <v>10</v>
      </c>
      <c r="G8" s="2" t="s">
        <v>11</v>
      </c>
    </row>
    <row r="9" spans="1:7">
      <c r="A9" t="s">
        <v>9</v>
      </c>
      <c r="B9">
        <v>6.2858112967717299E-13</v>
      </c>
      <c r="D9" s="2" t="s">
        <v>9</v>
      </c>
      <c r="E9" s="2">
        <v>0</v>
      </c>
      <c r="F9" s="2">
        <v>2</v>
      </c>
      <c r="G9" s="2">
        <v>1</v>
      </c>
    </row>
    <row r="10" spans="1:7">
      <c r="A10" t="s">
        <v>10</v>
      </c>
      <c r="B10">
        <v>9.4614117193427348E-13</v>
      </c>
      <c r="D10" s="2" t="s">
        <v>10</v>
      </c>
      <c r="E10" s="2">
        <v>-1</v>
      </c>
      <c r="F10" s="2">
        <v>0</v>
      </c>
      <c r="G10" s="2">
        <v>0</v>
      </c>
    </row>
    <row r="11" spans="1:7">
      <c r="A11" t="s">
        <v>11</v>
      </c>
      <c r="B11">
        <v>2.3270891389754053E-12</v>
      </c>
      <c r="D11" s="2" t="s">
        <v>11</v>
      </c>
      <c r="E11" s="2">
        <v>-2</v>
      </c>
      <c r="F11" s="2">
        <v>0</v>
      </c>
      <c r="G11" s="2">
        <v>0</v>
      </c>
    </row>
    <row r="13" spans="1:7" ht="15">
      <c r="E13">
        <f>(E9-E3)^2</f>
        <v>0</v>
      </c>
      <c r="F13">
        <f t="shared" ref="F13:G13" si="0">(F9-F3)^2</f>
        <v>7.7981260170228217E-8</v>
      </c>
      <c r="G13">
        <f t="shared" si="0"/>
        <v>2.4156206124969047E-9</v>
      </c>
    </row>
    <row r="14" spans="1:7" ht="15">
      <c r="E14">
        <f t="shared" ref="E14:G15" si="1">(E10-E4)^2</f>
        <v>4.5211031594204153E-9</v>
      </c>
      <c r="F14">
        <f t="shared" si="1"/>
        <v>0</v>
      </c>
      <c r="G14">
        <f t="shared" si="1"/>
        <v>0</v>
      </c>
    </row>
    <row r="15" spans="1:7" ht="15">
      <c r="E15">
        <f t="shared" si="1"/>
        <v>1.751475179238418E-8</v>
      </c>
      <c r="F15">
        <f t="shared" si="1"/>
        <v>0</v>
      </c>
      <c r="G15">
        <f t="shared" si="1"/>
        <v>0</v>
      </c>
    </row>
    <row r="17" spans="5:5" ht="15">
      <c r="E17" s="9">
        <f>SUM(E13:G15)</f>
        <v>1.0243273573452971E-7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B5B7ED115EF04980BBFAFC51672553" ma:contentTypeVersion="9" ma:contentTypeDescription="Create a new document." ma:contentTypeScope="" ma:versionID="43a679fe5cbd3b1dc01cea5b3bb6a16a">
  <xsd:schema xmlns:xsd="http://www.w3.org/2001/XMLSchema" xmlns:xs="http://www.w3.org/2001/XMLSchema" xmlns:p="http://schemas.microsoft.com/office/2006/metadata/properties" xmlns:ns3="070f1269-45c1-4463-99ba-5dc4e57c7dff" xmlns:ns4="7bf50b4b-6300-445a-aea1-306a2291592c" targetNamespace="http://schemas.microsoft.com/office/2006/metadata/properties" ma:root="true" ma:fieldsID="b0963d0390b393dc53bf13ff5a8315f4" ns3:_="" ns4:_="">
    <xsd:import namespace="070f1269-45c1-4463-99ba-5dc4e57c7dff"/>
    <xsd:import namespace="7bf50b4b-6300-445a-aea1-306a2291592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0f1269-45c1-4463-99ba-5dc4e57c7d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f50b4b-6300-445a-aea1-306a2291592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70f1269-45c1-4463-99ba-5dc4e57c7df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EB7017-44D4-47C1-BB45-296DD07AFB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0f1269-45c1-4463-99ba-5dc4e57c7dff"/>
    <ds:schemaRef ds:uri="7bf50b4b-6300-445a-aea1-306a229159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AD4690-B959-480E-AC59-DDDE87F8E768}">
  <ds:schemaRefs>
    <ds:schemaRef ds:uri="070f1269-45c1-4463-99ba-5dc4e57c7dff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7bf50b4b-6300-445a-aea1-306a2291592c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2EE723E-1688-4D1F-8FE6-FDF4658485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</vt:i4>
      </vt:variant>
    </vt:vector>
  </HeadingPairs>
  <TitlesOfParts>
    <vt:vector size="27" baseType="lpstr">
      <vt:lpstr>compare no const with Pb const</vt:lpstr>
      <vt:lpstr>B constant</vt:lpstr>
      <vt:lpstr>10.23</vt:lpstr>
      <vt:lpstr>10.22</vt:lpstr>
      <vt:lpstr>10.21</vt:lpstr>
      <vt:lpstr>10.20</vt:lpstr>
      <vt:lpstr>10.19</vt:lpstr>
      <vt:lpstr>10.18</vt:lpstr>
      <vt:lpstr>10.17</vt:lpstr>
      <vt:lpstr>10.16</vt:lpstr>
      <vt:lpstr>10.15</vt:lpstr>
      <vt:lpstr>10.14</vt:lpstr>
      <vt:lpstr>10.13</vt:lpstr>
      <vt:lpstr>10.12</vt:lpstr>
      <vt:lpstr>10.11</vt:lpstr>
      <vt:lpstr>10.10</vt:lpstr>
      <vt:lpstr>10.9</vt:lpstr>
      <vt:lpstr>10.8</vt:lpstr>
      <vt:lpstr>10.7</vt:lpstr>
      <vt:lpstr>10.6</vt:lpstr>
      <vt:lpstr>10.5</vt:lpstr>
      <vt:lpstr>10.4</vt:lpstr>
      <vt:lpstr>10.3</vt:lpstr>
      <vt:lpstr>10.2</vt:lpstr>
      <vt:lpstr>10.1</vt:lpstr>
      <vt:lpstr>10.0</vt:lpstr>
      <vt:lpstr>'B constant'!Print_Area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Chun, Nikki</dc:creator>
  <cp:lastModifiedBy>GRNmap</cp:lastModifiedBy>
  <cp:lastPrinted>2025-07-11T16:13:02Z</cp:lastPrinted>
  <dcterms:created xsi:type="dcterms:W3CDTF">2024-12-01T23:32:22Z</dcterms:created>
  <dcterms:modified xsi:type="dcterms:W3CDTF">2025-11-05T02:37:33Z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0x0101008DB5B7ED115EF04980BBFAFC51672553</vt:lpwstr>
  </property>
</Properties>
</file>