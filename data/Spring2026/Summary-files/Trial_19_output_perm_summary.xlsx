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ocuments/GitHub/DahlquistLabTest/data/Spring2026/Summary-files/"/>
    </mc:Choice>
  </mc:AlternateContent>
  <xr:revisionPtr revIDLastSave="0" documentId="8_{E95A0AD1-21D6-4897-8D0C-F7F392CF3676}" xr6:coauthVersionLast="47" xr6:coauthVersionMax="47" xr10:uidLastSave="{00000000-0000-0000-0000-000000000000}"/>
  <bookViews>
    <workbookView xWindow="-108" yWindow="-108" windowWidth="23256" windowHeight="12456" tabRatio="877" xr2:uid="{00000000-000D-0000-FFFF-FFFF00000000}"/>
  </bookViews>
  <sheets>
    <sheet name="Summary" sheetId="11" r:id="rId1"/>
    <sheet name="19.01" sheetId="12" r:id="rId2"/>
    <sheet name="19.02" sheetId="13" r:id="rId3"/>
    <sheet name="19.03" sheetId="14" r:id="rId4"/>
    <sheet name="19.04" sheetId="15" r:id="rId5"/>
    <sheet name="19.05" sheetId="16" r:id="rId6"/>
    <sheet name="19.06" sheetId="17" r:id="rId7"/>
    <sheet name="19.07" sheetId="18" r:id="rId8"/>
    <sheet name="19.08" sheetId="19" r:id="rId9"/>
    <sheet name="19.09" sheetId="20" r:id="rId10"/>
    <sheet name="19.10" sheetId="21" r:id="rId11"/>
    <sheet name="19.11" sheetId="22" r:id="rId12"/>
    <sheet name="19.12" sheetId="23" r:id="rId13"/>
    <sheet name="19.13" sheetId="24" r:id="rId14"/>
    <sheet name="19.14" sheetId="25" r:id="rId15"/>
    <sheet name="19.15" sheetId="26" r:id="rId16"/>
    <sheet name="19.16" sheetId="27" r:id="rId17"/>
    <sheet name="19.17" sheetId="28" r:id="rId18"/>
    <sheet name="19.18" sheetId="29" r:id="rId19"/>
    <sheet name="19.19" sheetId="30" r:id="rId20"/>
    <sheet name="19.20" sheetId="31" r:id="rId21"/>
    <sheet name="19.21" sheetId="32" r:id="rId22"/>
    <sheet name="19.22" sheetId="33" r:id="rId23"/>
    <sheet name="19.23" sheetId="34" r:id="rId24"/>
    <sheet name="19.24" sheetId="35" r:id="rId25"/>
  </sheets>
  <definedNames>
    <definedName name="db5_expression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1" l="1"/>
  <c r="P26" i="11"/>
  <c r="R19" i="11"/>
  <c r="R17" i="11"/>
  <c r="R21" i="11"/>
  <c r="R20" i="11"/>
  <c r="R8" i="11"/>
  <c r="R4" i="11"/>
  <c r="R6" i="11"/>
  <c r="R7" i="11"/>
  <c r="R13" i="11"/>
  <c r="R12" i="11"/>
  <c r="R15" i="11"/>
  <c r="R16" i="11"/>
  <c r="R9" i="11"/>
  <c r="R14" i="11"/>
  <c r="R23" i="11"/>
  <c r="R11" i="11"/>
  <c r="R22" i="11"/>
  <c r="R24" i="11"/>
  <c r="R25" i="11"/>
  <c r="R10" i="11"/>
  <c r="R2" i="11"/>
  <c r="R3" i="11"/>
  <c r="R5" i="11"/>
  <c r="R18" i="11"/>
  <c r="Q19" i="11"/>
  <c r="Q17" i="11"/>
  <c r="Q21" i="11"/>
  <c r="Q20" i="11"/>
  <c r="Q8" i="11"/>
  <c r="Q4" i="11"/>
  <c r="Q6" i="11"/>
  <c r="Q7" i="11"/>
  <c r="Q13" i="11"/>
  <c r="Q12" i="11"/>
  <c r="Q15" i="11"/>
  <c r="Q16" i="11"/>
  <c r="Q9" i="11"/>
  <c r="Q14" i="11"/>
  <c r="Q23" i="11"/>
  <c r="Q11" i="11"/>
  <c r="Q22" i="11"/>
  <c r="Q24" i="11"/>
  <c r="Q25" i="11"/>
  <c r="Q10" i="11"/>
  <c r="Q2" i="11"/>
  <c r="Q3" i="11"/>
  <c r="Q5" i="11"/>
  <c r="Q18" i="1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N33" i="35"/>
  <c r="M33" i="35"/>
  <c r="L33" i="35"/>
  <c r="K33" i="35"/>
  <c r="J33" i="35"/>
  <c r="I33" i="35"/>
  <c r="H33" i="35"/>
  <c r="G33" i="35"/>
  <c r="F33" i="35"/>
  <c r="E33" i="35"/>
  <c r="D33" i="35"/>
  <c r="C33" i="35"/>
  <c r="B33" i="35"/>
  <c r="N32" i="35"/>
  <c r="M32" i="35"/>
  <c r="L32" i="35"/>
  <c r="K32" i="35"/>
  <c r="J32" i="35"/>
  <c r="I32" i="35"/>
  <c r="H32" i="35"/>
  <c r="G32" i="35"/>
  <c r="F32" i="35"/>
  <c r="E32" i="35"/>
  <c r="D32" i="35"/>
  <c r="C32" i="35"/>
  <c r="B32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B31" i="35"/>
  <c r="X10" i="35"/>
  <c r="W10" i="35"/>
  <c r="V10" i="35"/>
  <c r="S10" i="35"/>
  <c r="R10" i="35"/>
  <c r="Q10" i="35"/>
  <c r="N10" i="35"/>
  <c r="M10" i="35"/>
  <c r="L10" i="35"/>
  <c r="I10" i="35"/>
  <c r="H10" i="35"/>
  <c r="G10" i="35"/>
  <c r="X9" i="35"/>
  <c r="W9" i="35"/>
  <c r="V9" i="35"/>
  <c r="S9" i="35"/>
  <c r="R9" i="35"/>
  <c r="Q9" i="35"/>
  <c r="N9" i="35"/>
  <c r="M9" i="35"/>
  <c r="L9" i="35"/>
  <c r="I9" i="35"/>
  <c r="H9" i="35"/>
  <c r="G9" i="35"/>
  <c r="X8" i="35"/>
  <c r="W8" i="35"/>
  <c r="V8" i="35"/>
  <c r="S8" i="35"/>
  <c r="R8" i="35"/>
  <c r="Q8" i="35"/>
  <c r="N8" i="35"/>
  <c r="M8" i="35"/>
  <c r="L8" i="35"/>
  <c r="I8" i="35"/>
  <c r="H8" i="35"/>
  <c r="G8" i="35"/>
  <c r="N33" i="34"/>
  <c r="M33" i="34"/>
  <c r="L33" i="34"/>
  <c r="K33" i="34"/>
  <c r="J33" i="34"/>
  <c r="I33" i="34"/>
  <c r="H33" i="34"/>
  <c r="G33" i="34"/>
  <c r="F33" i="34"/>
  <c r="E33" i="34"/>
  <c r="D33" i="34"/>
  <c r="C33" i="34"/>
  <c r="B33" i="34"/>
  <c r="N32" i="34"/>
  <c r="M32" i="34"/>
  <c r="L32" i="34"/>
  <c r="K32" i="34"/>
  <c r="J32" i="34"/>
  <c r="I32" i="34"/>
  <c r="H32" i="34"/>
  <c r="G32" i="34"/>
  <c r="F32" i="34"/>
  <c r="E32" i="34"/>
  <c r="D32" i="34"/>
  <c r="C32" i="34"/>
  <c r="B32" i="34"/>
  <c r="N31" i="34"/>
  <c r="M31" i="34"/>
  <c r="L31" i="34"/>
  <c r="K31" i="34"/>
  <c r="J31" i="34"/>
  <c r="I31" i="34"/>
  <c r="H31" i="34"/>
  <c r="G31" i="34"/>
  <c r="F31" i="34"/>
  <c r="E31" i="34"/>
  <c r="D31" i="34"/>
  <c r="C31" i="34"/>
  <c r="B31" i="34"/>
  <c r="X10" i="34"/>
  <c r="W10" i="34"/>
  <c r="V10" i="34"/>
  <c r="S10" i="34"/>
  <c r="R10" i="34"/>
  <c r="Q10" i="34"/>
  <c r="N10" i="34"/>
  <c r="M10" i="34"/>
  <c r="L10" i="34"/>
  <c r="I10" i="34"/>
  <c r="H10" i="34"/>
  <c r="G10" i="34"/>
  <c r="X9" i="34"/>
  <c r="W9" i="34"/>
  <c r="V9" i="34"/>
  <c r="S9" i="34"/>
  <c r="R9" i="34"/>
  <c r="Q9" i="34"/>
  <c r="N9" i="34"/>
  <c r="M9" i="34"/>
  <c r="L9" i="34"/>
  <c r="I9" i="34"/>
  <c r="H9" i="34"/>
  <c r="G9" i="34"/>
  <c r="X8" i="34"/>
  <c r="W8" i="34"/>
  <c r="V8" i="34"/>
  <c r="S8" i="34"/>
  <c r="R8" i="34"/>
  <c r="Q8" i="34"/>
  <c r="N8" i="34"/>
  <c r="M8" i="34"/>
  <c r="L8" i="34"/>
  <c r="I8" i="34"/>
  <c r="H8" i="34"/>
  <c r="G8" i="34"/>
  <c r="N33" i="33"/>
  <c r="M33" i="33"/>
  <c r="L33" i="33"/>
  <c r="K33" i="33"/>
  <c r="J33" i="33"/>
  <c r="I33" i="33"/>
  <c r="H33" i="33"/>
  <c r="G33" i="33"/>
  <c r="F33" i="33"/>
  <c r="E33" i="33"/>
  <c r="D33" i="33"/>
  <c r="C33" i="33"/>
  <c r="B33" i="33"/>
  <c r="N32" i="33"/>
  <c r="M32" i="33"/>
  <c r="L32" i="33"/>
  <c r="K32" i="33"/>
  <c r="J32" i="33"/>
  <c r="I32" i="33"/>
  <c r="H32" i="33"/>
  <c r="G32" i="33"/>
  <c r="F32" i="33"/>
  <c r="E32" i="33"/>
  <c r="D32" i="33"/>
  <c r="C32" i="33"/>
  <c r="B32" i="33"/>
  <c r="N31" i="33"/>
  <c r="M31" i="33"/>
  <c r="L31" i="33"/>
  <c r="K31" i="33"/>
  <c r="J31" i="33"/>
  <c r="I31" i="33"/>
  <c r="H31" i="33"/>
  <c r="G31" i="33"/>
  <c r="F31" i="33"/>
  <c r="E31" i="33"/>
  <c r="D31" i="33"/>
  <c r="C31" i="33"/>
  <c r="B31" i="33"/>
  <c r="X10" i="33"/>
  <c r="W10" i="33"/>
  <c r="V10" i="33"/>
  <c r="S10" i="33"/>
  <c r="R10" i="33"/>
  <c r="Q10" i="33"/>
  <c r="N10" i="33"/>
  <c r="M10" i="33"/>
  <c r="L10" i="33"/>
  <c r="I10" i="33"/>
  <c r="H10" i="33"/>
  <c r="G10" i="33"/>
  <c r="X9" i="33"/>
  <c r="W9" i="33"/>
  <c r="V9" i="33"/>
  <c r="S9" i="33"/>
  <c r="R9" i="33"/>
  <c r="Q9" i="33"/>
  <c r="N9" i="33"/>
  <c r="M9" i="33"/>
  <c r="L9" i="33"/>
  <c r="I9" i="33"/>
  <c r="H9" i="33"/>
  <c r="G9" i="33"/>
  <c r="X8" i="33"/>
  <c r="W8" i="33"/>
  <c r="V8" i="33"/>
  <c r="S8" i="33"/>
  <c r="R8" i="33"/>
  <c r="Q8" i="33"/>
  <c r="N8" i="33"/>
  <c r="M8" i="33"/>
  <c r="L8" i="33"/>
  <c r="I8" i="33"/>
  <c r="H8" i="33"/>
  <c r="G8" i="33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X10" i="32"/>
  <c r="W10" i="32"/>
  <c r="V10" i="32"/>
  <c r="S10" i="32"/>
  <c r="R10" i="32"/>
  <c r="Q10" i="32"/>
  <c r="N10" i="32"/>
  <c r="M10" i="32"/>
  <c r="L10" i="32"/>
  <c r="I10" i="32"/>
  <c r="H10" i="32"/>
  <c r="G10" i="32"/>
  <c r="X9" i="32"/>
  <c r="W9" i="32"/>
  <c r="V9" i="32"/>
  <c r="S9" i="32"/>
  <c r="R9" i="32"/>
  <c r="Q9" i="32"/>
  <c r="N9" i="32"/>
  <c r="M9" i="32"/>
  <c r="L9" i="32"/>
  <c r="I9" i="32"/>
  <c r="H9" i="32"/>
  <c r="G9" i="32"/>
  <c r="X8" i="32"/>
  <c r="W8" i="32"/>
  <c r="V8" i="32"/>
  <c r="S8" i="32"/>
  <c r="R8" i="32"/>
  <c r="Q8" i="32"/>
  <c r="N8" i="32"/>
  <c r="M8" i="32"/>
  <c r="L8" i="32"/>
  <c r="I8" i="32"/>
  <c r="H8" i="32"/>
  <c r="G8" i="32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X10" i="31"/>
  <c r="W10" i="31"/>
  <c r="V10" i="31"/>
  <c r="S10" i="31"/>
  <c r="R10" i="31"/>
  <c r="Q10" i="31"/>
  <c r="N10" i="31"/>
  <c r="M10" i="31"/>
  <c r="L10" i="31"/>
  <c r="I10" i="31"/>
  <c r="H10" i="31"/>
  <c r="G10" i="31"/>
  <c r="X9" i="31"/>
  <c r="W9" i="31"/>
  <c r="V9" i="31"/>
  <c r="S9" i="31"/>
  <c r="R9" i="31"/>
  <c r="Q9" i="31"/>
  <c r="N9" i="31"/>
  <c r="M9" i="31"/>
  <c r="L9" i="31"/>
  <c r="I9" i="31"/>
  <c r="H9" i="31"/>
  <c r="G9" i="31"/>
  <c r="X8" i="31"/>
  <c r="W8" i="31"/>
  <c r="V8" i="31"/>
  <c r="S8" i="31"/>
  <c r="R8" i="31"/>
  <c r="Q8" i="31"/>
  <c r="N8" i="31"/>
  <c r="M8" i="31"/>
  <c r="L8" i="31"/>
  <c r="I8" i="31"/>
  <c r="H8" i="31"/>
  <c r="G8" i="31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X10" i="30"/>
  <c r="W10" i="30"/>
  <c r="V10" i="30"/>
  <c r="S10" i="30"/>
  <c r="R10" i="30"/>
  <c r="Q10" i="30"/>
  <c r="N10" i="30"/>
  <c r="M10" i="30"/>
  <c r="L10" i="30"/>
  <c r="I10" i="30"/>
  <c r="H10" i="30"/>
  <c r="G10" i="30"/>
  <c r="X9" i="30"/>
  <c r="W9" i="30"/>
  <c r="V9" i="30"/>
  <c r="S9" i="30"/>
  <c r="R9" i="30"/>
  <c r="Q9" i="30"/>
  <c r="N9" i="30"/>
  <c r="M9" i="30"/>
  <c r="L9" i="30"/>
  <c r="I9" i="30"/>
  <c r="H9" i="30"/>
  <c r="G9" i="30"/>
  <c r="X8" i="30"/>
  <c r="W8" i="30"/>
  <c r="V8" i="30"/>
  <c r="S8" i="30"/>
  <c r="R8" i="30"/>
  <c r="Q8" i="30"/>
  <c r="N8" i="30"/>
  <c r="M8" i="30"/>
  <c r="L8" i="30"/>
  <c r="I8" i="30"/>
  <c r="H8" i="30"/>
  <c r="G8" i="30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X10" i="29"/>
  <c r="W10" i="29"/>
  <c r="V10" i="29"/>
  <c r="S10" i="29"/>
  <c r="R10" i="29"/>
  <c r="Q10" i="29"/>
  <c r="N10" i="29"/>
  <c r="M10" i="29"/>
  <c r="L10" i="29"/>
  <c r="I10" i="29"/>
  <c r="H10" i="29"/>
  <c r="G10" i="29"/>
  <c r="X9" i="29"/>
  <c r="W9" i="29"/>
  <c r="V9" i="29"/>
  <c r="S9" i="29"/>
  <c r="R9" i="29"/>
  <c r="Q9" i="29"/>
  <c r="N9" i="29"/>
  <c r="M9" i="29"/>
  <c r="L9" i="29"/>
  <c r="I9" i="29"/>
  <c r="H9" i="29"/>
  <c r="G9" i="29"/>
  <c r="X8" i="29"/>
  <c r="V13" i="29"/>
  <c r="W8" i="29"/>
  <c r="V8" i="29"/>
  <c r="S8" i="29"/>
  <c r="R8" i="29"/>
  <c r="Q8" i="29"/>
  <c r="N8" i="29"/>
  <c r="M8" i="29"/>
  <c r="L8" i="29"/>
  <c r="I8" i="29"/>
  <c r="H8" i="29"/>
  <c r="G8" i="29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X10" i="28"/>
  <c r="W10" i="28"/>
  <c r="V10" i="28"/>
  <c r="S10" i="28"/>
  <c r="R10" i="28"/>
  <c r="Q10" i="28"/>
  <c r="N10" i="28"/>
  <c r="M10" i="28"/>
  <c r="L10" i="28"/>
  <c r="I10" i="28"/>
  <c r="H10" i="28"/>
  <c r="G10" i="28"/>
  <c r="X9" i="28"/>
  <c r="W9" i="28"/>
  <c r="V9" i="28"/>
  <c r="S9" i="28"/>
  <c r="R9" i="28"/>
  <c r="Q9" i="28"/>
  <c r="N9" i="28"/>
  <c r="M9" i="28"/>
  <c r="L9" i="28"/>
  <c r="I9" i="28"/>
  <c r="H9" i="28"/>
  <c r="G9" i="28"/>
  <c r="X8" i="28"/>
  <c r="W8" i="28"/>
  <c r="V8" i="28"/>
  <c r="S8" i="28"/>
  <c r="R8" i="28"/>
  <c r="Q8" i="28"/>
  <c r="Q13" i="28"/>
  <c r="N8" i="28"/>
  <c r="M8" i="28"/>
  <c r="L8" i="28"/>
  <c r="I8" i="28"/>
  <c r="H8" i="28"/>
  <c r="G8" i="28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X10" i="27"/>
  <c r="W10" i="27"/>
  <c r="V10" i="27"/>
  <c r="S10" i="27"/>
  <c r="R10" i="27"/>
  <c r="Q10" i="27"/>
  <c r="N10" i="27"/>
  <c r="M10" i="27"/>
  <c r="L10" i="27"/>
  <c r="I10" i="27"/>
  <c r="H10" i="27"/>
  <c r="G10" i="27"/>
  <c r="X9" i="27"/>
  <c r="W9" i="27"/>
  <c r="V9" i="27"/>
  <c r="S9" i="27"/>
  <c r="R9" i="27"/>
  <c r="Q9" i="27"/>
  <c r="N9" i="27"/>
  <c r="M9" i="27"/>
  <c r="L9" i="27"/>
  <c r="I9" i="27"/>
  <c r="H9" i="27"/>
  <c r="G9" i="27"/>
  <c r="X8" i="27"/>
  <c r="W8" i="27"/>
  <c r="V8" i="27"/>
  <c r="S8" i="27"/>
  <c r="R8" i="27"/>
  <c r="Q8" i="27"/>
  <c r="N8" i="27"/>
  <c r="M8" i="27"/>
  <c r="L8" i="27"/>
  <c r="I8" i="27"/>
  <c r="H8" i="27"/>
  <c r="G8" i="27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X10" i="26"/>
  <c r="W10" i="26"/>
  <c r="V10" i="26"/>
  <c r="S10" i="26"/>
  <c r="R10" i="26"/>
  <c r="Q10" i="26"/>
  <c r="N10" i="26"/>
  <c r="M10" i="26"/>
  <c r="L10" i="26"/>
  <c r="I10" i="26"/>
  <c r="H10" i="26"/>
  <c r="G10" i="26"/>
  <c r="X9" i="26"/>
  <c r="W9" i="26"/>
  <c r="V9" i="26"/>
  <c r="S9" i="26"/>
  <c r="R9" i="26"/>
  <c r="Q9" i="26"/>
  <c r="N9" i="26"/>
  <c r="M9" i="26"/>
  <c r="L9" i="26"/>
  <c r="I9" i="26"/>
  <c r="H9" i="26"/>
  <c r="G9" i="26"/>
  <c r="X8" i="26"/>
  <c r="W8" i="26"/>
  <c r="V8" i="26"/>
  <c r="S8" i="26"/>
  <c r="R8" i="26"/>
  <c r="Q8" i="26"/>
  <c r="N8" i="26"/>
  <c r="M8" i="26"/>
  <c r="L8" i="26"/>
  <c r="I8" i="26"/>
  <c r="H8" i="26"/>
  <c r="G8" i="26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X10" i="25"/>
  <c r="W10" i="25"/>
  <c r="V10" i="25"/>
  <c r="S10" i="25"/>
  <c r="R10" i="25"/>
  <c r="Q10" i="25"/>
  <c r="N10" i="25"/>
  <c r="M10" i="25"/>
  <c r="L10" i="25"/>
  <c r="I10" i="25"/>
  <c r="H10" i="25"/>
  <c r="G10" i="25"/>
  <c r="X9" i="25"/>
  <c r="W9" i="25"/>
  <c r="V9" i="25"/>
  <c r="S9" i="25"/>
  <c r="R9" i="25"/>
  <c r="Q9" i="25"/>
  <c r="N9" i="25"/>
  <c r="M9" i="25"/>
  <c r="L9" i="25"/>
  <c r="I9" i="25"/>
  <c r="H9" i="25"/>
  <c r="G9" i="25"/>
  <c r="X8" i="25"/>
  <c r="W8" i="25"/>
  <c r="V8" i="25"/>
  <c r="S8" i="25"/>
  <c r="R8" i="25"/>
  <c r="Q8" i="25"/>
  <c r="N8" i="25"/>
  <c r="M8" i="25"/>
  <c r="L8" i="25"/>
  <c r="I8" i="25"/>
  <c r="H8" i="25"/>
  <c r="G8" i="25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X10" i="24"/>
  <c r="W10" i="24"/>
  <c r="V10" i="24"/>
  <c r="S10" i="24"/>
  <c r="R10" i="24"/>
  <c r="Q10" i="24"/>
  <c r="N10" i="24"/>
  <c r="M10" i="24"/>
  <c r="L10" i="24"/>
  <c r="I10" i="24"/>
  <c r="H10" i="24"/>
  <c r="G10" i="24"/>
  <c r="X9" i="24"/>
  <c r="W9" i="24"/>
  <c r="V9" i="24"/>
  <c r="V13" i="24"/>
  <c r="S9" i="24"/>
  <c r="R9" i="24"/>
  <c r="Q9" i="24"/>
  <c r="N9" i="24"/>
  <c r="M9" i="24"/>
  <c r="L9" i="24"/>
  <c r="I9" i="24"/>
  <c r="H9" i="24"/>
  <c r="G9" i="24"/>
  <c r="X8" i="24"/>
  <c r="W8" i="24"/>
  <c r="V8" i="24"/>
  <c r="S8" i="24"/>
  <c r="R8" i="24"/>
  <c r="Q8" i="24"/>
  <c r="N8" i="24"/>
  <c r="M8" i="24"/>
  <c r="L8" i="24"/>
  <c r="I8" i="24"/>
  <c r="H8" i="24"/>
  <c r="G8" i="24"/>
  <c r="K3" i="11"/>
  <c r="K4" i="11"/>
  <c r="K5" i="11"/>
  <c r="K6" i="11"/>
  <c r="K7" i="11"/>
  <c r="K8" i="11"/>
  <c r="K9" i="11"/>
  <c r="K10" i="11"/>
  <c r="K11" i="11"/>
  <c r="K12" i="11"/>
  <c r="K13" i="11"/>
  <c r="K2" i="11"/>
  <c r="G33" i="19"/>
  <c r="D33" i="19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X10" i="23"/>
  <c r="W10" i="23"/>
  <c r="V10" i="23"/>
  <c r="S10" i="23"/>
  <c r="R10" i="23"/>
  <c r="Q10" i="23"/>
  <c r="N10" i="23"/>
  <c r="M10" i="23"/>
  <c r="L10" i="23"/>
  <c r="I10" i="23"/>
  <c r="H10" i="23"/>
  <c r="G10" i="23"/>
  <c r="X9" i="23"/>
  <c r="W9" i="23"/>
  <c r="V9" i="23"/>
  <c r="S9" i="23"/>
  <c r="R9" i="23"/>
  <c r="Q9" i="23"/>
  <c r="N9" i="23"/>
  <c r="M9" i="23"/>
  <c r="L9" i="23"/>
  <c r="I9" i="23"/>
  <c r="H9" i="23"/>
  <c r="G9" i="23"/>
  <c r="X8" i="23"/>
  <c r="W8" i="23"/>
  <c r="V8" i="23"/>
  <c r="S8" i="23"/>
  <c r="R8" i="23"/>
  <c r="Q8" i="23"/>
  <c r="N8" i="23"/>
  <c r="M8" i="23"/>
  <c r="L8" i="23"/>
  <c r="I8" i="23"/>
  <c r="H8" i="23"/>
  <c r="G8" i="23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X10" i="22"/>
  <c r="W10" i="22"/>
  <c r="V10" i="22"/>
  <c r="S10" i="22"/>
  <c r="R10" i="22"/>
  <c r="Q10" i="22"/>
  <c r="N10" i="22"/>
  <c r="M10" i="22"/>
  <c r="L10" i="22"/>
  <c r="I10" i="22"/>
  <c r="H10" i="22"/>
  <c r="G10" i="22"/>
  <c r="X9" i="22"/>
  <c r="W9" i="22"/>
  <c r="V9" i="22"/>
  <c r="S9" i="22"/>
  <c r="R9" i="22"/>
  <c r="Q9" i="22"/>
  <c r="N9" i="22"/>
  <c r="M9" i="22"/>
  <c r="L9" i="22"/>
  <c r="I9" i="22"/>
  <c r="H9" i="22"/>
  <c r="G9" i="22"/>
  <c r="X8" i="22"/>
  <c r="W8" i="22"/>
  <c r="V8" i="22"/>
  <c r="S8" i="22"/>
  <c r="R8" i="22"/>
  <c r="Q8" i="22"/>
  <c r="N8" i="22"/>
  <c r="M8" i="22"/>
  <c r="L8" i="22"/>
  <c r="I8" i="22"/>
  <c r="H8" i="22"/>
  <c r="G8" i="22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X10" i="21"/>
  <c r="W10" i="21"/>
  <c r="V10" i="21"/>
  <c r="S10" i="21"/>
  <c r="R10" i="21"/>
  <c r="Q10" i="21"/>
  <c r="N10" i="21"/>
  <c r="M10" i="21"/>
  <c r="L10" i="21"/>
  <c r="I10" i="21"/>
  <c r="H10" i="21"/>
  <c r="G10" i="21"/>
  <c r="X9" i="21"/>
  <c r="W9" i="21"/>
  <c r="V9" i="21"/>
  <c r="S9" i="21"/>
  <c r="R9" i="21"/>
  <c r="Q9" i="21"/>
  <c r="N9" i="21"/>
  <c r="M9" i="21"/>
  <c r="L9" i="21"/>
  <c r="I9" i="21"/>
  <c r="H9" i="21"/>
  <c r="G9" i="21"/>
  <c r="X8" i="21"/>
  <c r="W8" i="21"/>
  <c r="V8" i="21"/>
  <c r="S8" i="21"/>
  <c r="R8" i="21"/>
  <c r="Q8" i="21"/>
  <c r="N8" i="21"/>
  <c r="M8" i="21"/>
  <c r="L8" i="21"/>
  <c r="L13" i="21"/>
  <c r="I8" i="21"/>
  <c r="H8" i="21"/>
  <c r="G8" i="21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X10" i="20"/>
  <c r="W10" i="20"/>
  <c r="V10" i="20"/>
  <c r="S10" i="20"/>
  <c r="R10" i="20"/>
  <c r="Q10" i="20"/>
  <c r="N10" i="20"/>
  <c r="M10" i="20"/>
  <c r="L10" i="20"/>
  <c r="I10" i="20"/>
  <c r="H10" i="20"/>
  <c r="G10" i="20"/>
  <c r="X9" i="20"/>
  <c r="W9" i="20"/>
  <c r="V9" i="20"/>
  <c r="S9" i="20"/>
  <c r="R9" i="20"/>
  <c r="Q9" i="20"/>
  <c r="N9" i="20"/>
  <c r="M9" i="20"/>
  <c r="L9" i="20"/>
  <c r="I9" i="20"/>
  <c r="H9" i="20"/>
  <c r="G9" i="20"/>
  <c r="X8" i="20"/>
  <c r="W8" i="20"/>
  <c r="V8" i="20"/>
  <c r="S8" i="20"/>
  <c r="R8" i="20"/>
  <c r="Q8" i="20"/>
  <c r="N8" i="20"/>
  <c r="M8" i="20"/>
  <c r="L8" i="20"/>
  <c r="I8" i="20"/>
  <c r="H8" i="20"/>
  <c r="G8" i="20"/>
  <c r="N33" i="19"/>
  <c r="M33" i="19"/>
  <c r="L33" i="19"/>
  <c r="K33" i="19"/>
  <c r="J33" i="19"/>
  <c r="I33" i="19"/>
  <c r="H33" i="19"/>
  <c r="F33" i="19"/>
  <c r="E33" i="19"/>
  <c r="C33" i="19"/>
  <c r="B33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X10" i="19"/>
  <c r="W10" i="19"/>
  <c r="V10" i="19"/>
  <c r="S10" i="19"/>
  <c r="R10" i="19"/>
  <c r="Q10" i="19"/>
  <c r="N10" i="19"/>
  <c r="M10" i="19"/>
  <c r="L10" i="19"/>
  <c r="I10" i="19"/>
  <c r="H10" i="19"/>
  <c r="G10" i="19"/>
  <c r="X9" i="19"/>
  <c r="W9" i="19"/>
  <c r="V9" i="19"/>
  <c r="S9" i="19"/>
  <c r="R9" i="19"/>
  <c r="Q9" i="19"/>
  <c r="N9" i="19"/>
  <c r="M9" i="19"/>
  <c r="L9" i="19"/>
  <c r="I9" i="19"/>
  <c r="H9" i="19"/>
  <c r="G9" i="19"/>
  <c r="X8" i="19"/>
  <c r="W8" i="19"/>
  <c r="V8" i="19"/>
  <c r="S8" i="19"/>
  <c r="R8" i="19"/>
  <c r="Q8" i="19"/>
  <c r="N8" i="19"/>
  <c r="M8" i="19"/>
  <c r="L8" i="19"/>
  <c r="I8" i="19"/>
  <c r="H8" i="19"/>
  <c r="G8" i="19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X10" i="18"/>
  <c r="W10" i="18"/>
  <c r="V10" i="18"/>
  <c r="S10" i="18"/>
  <c r="R10" i="18"/>
  <c r="Q10" i="18"/>
  <c r="N10" i="18"/>
  <c r="M10" i="18"/>
  <c r="L10" i="18"/>
  <c r="I10" i="18"/>
  <c r="H10" i="18"/>
  <c r="G10" i="18"/>
  <c r="X9" i="18"/>
  <c r="W9" i="18"/>
  <c r="V9" i="18"/>
  <c r="S9" i="18"/>
  <c r="R9" i="18"/>
  <c r="Q9" i="18"/>
  <c r="N9" i="18"/>
  <c r="M9" i="18"/>
  <c r="L9" i="18"/>
  <c r="I9" i="18"/>
  <c r="H9" i="18"/>
  <c r="G9" i="18"/>
  <c r="X8" i="18"/>
  <c r="W8" i="18"/>
  <c r="V8" i="18"/>
  <c r="S8" i="18"/>
  <c r="R8" i="18"/>
  <c r="Q8" i="18"/>
  <c r="N8" i="18"/>
  <c r="M8" i="18"/>
  <c r="L8" i="18"/>
  <c r="I8" i="18"/>
  <c r="H8" i="18"/>
  <c r="G8" i="18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X10" i="17"/>
  <c r="W10" i="17"/>
  <c r="V10" i="17"/>
  <c r="S10" i="17"/>
  <c r="R10" i="17"/>
  <c r="Q10" i="17"/>
  <c r="N10" i="17"/>
  <c r="M10" i="17"/>
  <c r="L10" i="17"/>
  <c r="I10" i="17"/>
  <c r="H10" i="17"/>
  <c r="G10" i="17"/>
  <c r="X9" i="17"/>
  <c r="W9" i="17"/>
  <c r="V9" i="17"/>
  <c r="S9" i="17"/>
  <c r="R9" i="17"/>
  <c r="Q9" i="17"/>
  <c r="N9" i="17"/>
  <c r="M9" i="17"/>
  <c r="L9" i="17"/>
  <c r="I9" i="17"/>
  <c r="H9" i="17"/>
  <c r="G9" i="17"/>
  <c r="X8" i="17"/>
  <c r="W8" i="17"/>
  <c r="V8" i="17"/>
  <c r="S8" i="17"/>
  <c r="R8" i="17"/>
  <c r="Q8" i="17"/>
  <c r="Q13" i="17"/>
  <c r="N8" i="17"/>
  <c r="M8" i="17"/>
  <c r="L8" i="17"/>
  <c r="I8" i="17"/>
  <c r="H8" i="17"/>
  <c r="G8" i="17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X10" i="16"/>
  <c r="W10" i="16"/>
  <c r="V10" i="16"/>
  <c r="S10" i="16"/>
  <c r="R10" i="16"/>
  <c r="Q10" i="16"/>
  <c r="N10" i="16"/>
  <c r="M10" i="16"/>
  <c r="L10" i="16"/>
  <c r="I10" i="16"/>
  <c r="H10" i="16"/>
  <c r="G10" i="16"/>
  <c r="X9" i="16"/>
  <c r="W9" i="16"/>
  <c r="V9" i="16"/>
  <c r="S9" i="16"/>
  <c r="R9" i="16"/>
  <c r="Q9" i="16"/>
  <c r="N9" i="16"/>
  <c r="M9" i="16"/>
  <c r="L9" i="16"/>
  <c r="I9" i="16"/>
  <c r="H9" i="16"/>
  <c r="G9" i="16"/>
  <c r="X8" i="16"/>
  <c r="W8" i="16"/>
  <c r="V8" i="16"/>
  <c r="S8" i="16"/>
  <c r="R8" i="16"/>
  <c r="Q8" i="16"/>
  <c r="N8" i="16"/>
  <c r="M8" i="16"/>
  <c r="L8" i="16"/>
  <c r="I8" i="16"/>
  <c r="H8" i="16"/>
  <c r="G8" i="16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X10" i="15"/>
  <c r="W10" i="15"/>
  <c r="V10" i="15"/>
  <c r="S10" i="15"/>
  <c r="R10" i="15"/>
  <c r="Q10" i="15"/>
  <c r="N10" i="15"/>
  <c r="M10" i="15"/>
  <c r="L10" i="15"/>
  <c r="I10" i="15"/>
  <c r="H10" i="15"/>
  <c r="G10" i="15"/>
  <c r="X9" i="15"/>
  <c r="W9" i="15"/>
  <c r="V9" i="15"/>
  <c r="S9" i="15"/>
  <c r="R9" i="15"/>
  <c r="Q9" i="15"/>
  <c r="N9" i="15"/>
  <c r="M9" i="15"/>
  <c r="L9" i="15"/>
  <c r="I9" i="15"/>
  <c r="H9" i="15"/>
  <c r="G9" i="15"/>
  <c r="X8" i="15"/>
  <c r="W8" i="15"/>
  <c r="V8" i="15"/>
  <c r="S8" i="15"/>
  <c r="R8" i="15"/>
  <c r="Q8" i="15"/>
  <c r="N8" i="15"/>
  <c r="M8" i="15"/>
  <c r="L8" i="15"/>
  <c r="I8" i="15"/>
  <c r="H8" i="15"/>
  <c r="G8" i="15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X10" i="14"/>
  <c r="W10" i="14"/>
  <c r="V10" i="14"/>
  <c r="S10" i="14"/>
  <c r="R10" i="14"/>
  <c r="Q10" i="14"/>
  <c r="N10" i="14"/>
  <c r="M10" i="14"/>
  <c r="L10" i="14"/>
  <c r="I10" i="14"/>
  <c r="H10" i="14"/>
  <c r="G10" i="14"/>
  <c r="X9" i="14"/>
  <c r="W9" i="14"/>
  <c r="V9" i="14"/>
  <c r="S9" i="14"/>
  <c r="R9" i="14"/>
  <c r="Q9" i="14"/>
  <c r="N9" i="14"/>
  <c r="M9" i="14"/>
  <c r="L9" i="14"/>
  <c r="I9" i="14"/>
  <c r="H9" i="14"/>
  <c r="G9" i="14"/>
  <c r="X8" i="14"/>
  <c r="W8" i="14"/>
  <c r="V8" i="14"/>
  <c r="S8" i="14"/>
  <c r="R8" i="14"/>
  <c r="Q8" i="14"/>
  <c r="N8" i="14"/>
  <c r="M8" i="14"/>
  <c r="L8" i="14"/>
  <c r="I8" i="14"/>
  <c r="H8" i="14"/>
  <c r="G8" i="14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X10" i="13"/>
  <c r="W10" i="13"/>
  <c r="V10" i="13"/>
  <c r="S10" i="13"/>
  <c r="R10" i="13"/>
  <c r="Q10" i="13"/>
  <c r="N10" i="13"/>
  <c r="M10" i="13"/>
  <c r="L10" i="13"/>
  <c r="I10" i="13"/>
  <c r="H10" i="13"/>
  <c r="G10" i="13"/>
  <c r="X9" i="13"/>
  <c r="W9" i="13"/>
  <c r="V9" i="13"/>
  <c r="S9" i="13"/>
  <c r="R9" i="13"/>
  <c r="Q9" i="13"/>
  <c r="N9" i="13"/>
  <c r="M9" i="13"/>
  <c r="L9" i="13"/>
  <c r="I9" i="13"/>
  <c r="H9" i="13"/>
  <c r="G9" i="13"/>
  <c r="X8" i="13"/>
  <c r="W8" i="13"/>
  <c r="V8" i="13"/>
  <c r="S8" i="13"/>
  <c r="R8" i="13"/>
  <c r="Q8" i="13"/>
  <c r="N8" i="13"/>
  <c r="M8" i="13"/>
  <c r="L8" i="13"/>
  <c r="I8" i="13"/>
  <c r="H8" i="13"/>
  <c r="G8" i="13"/>
  <c r="F32" i="12"/>
  <c r="G32" i="12"/>
  <c r="H32" i="12"/>
  <c r="I32" i="12"/>
  <c r="J32" i="12"/>
  <c r="K32" i="12"/>
  <c r="L32" i="12"/>
  <c r="M32" i="12"/>
  <c r="N32" i="12"/>
  <c r="F33" i="12"/>
  <c r="G33" i="12"/>
  <c r="H33" i="12"/>
  <c r="I33" i="12"/>
  <c r="J33" i="12"/>
  <c r="K33" i="12"/>
  <c r="L33" i="12"/>
  <c r="M33" i="12"/>
  <c r="N33" i="12"/>
  <c r="F31" i="12"/>
  <c r="N31" i="12"/>
  <c r="M31" i="12"/>
  <c r="L31" i="12"/>
  <c r="K31" i="12"/>
  <c r="J31" i="12"/>
  <c r="I31" i="12"/>
  <c r="G31" i="12"/>
  <c r="B32" i="12"/>
  <c r="C32" i="12"/>
  <c r="D32" i="12"/>
  <c r="E32" i="12"/>
  <c r="B33" i="12"/>
  <c r="C33" i="12"/>
  <c r="D33" i="12"/>
  <c r="E33" i="12"/>
  <c r="E31" i="12"/>
  <c r="D31" i="12"/>
  <c r="C31" i="12"/>
  <c r="B31" i="12"/>
  <c r="H31" i="12"/>
  <c r="W8" i="12"/>
  <c r="X8" i="12"/>
  <c r="W9" i="12"/>
  <c r="X9" i="12"/>
  <c r="W10" i="12"/>
  <c r="X10" i="12"/>
  <c r="V9" i="12"/>
  <c r="V10" i="12"/>
  <c r="V8" i="12"/>
  <c r="R8" i="12"/>
  <c r="S8" i="12"/>
  <c r="R9" i="12"/>
  <c r="S9" i="12"/>
  <c r="R10" i="12"/>
  <c r="S10" i="12"/>
  <c r="Q9" i="12"/>
  <c r="Q10" i="12"/>
  <c r="Q8" i="12"/>
  <c r="M8" i="12"/>
  <c r="N8" i="12"/>
  <c r="M9" i="12"/>
  <c r="N9" i="12"/>
  <c r="M10" i="12"/>
  <c r="N10" i="12"/>
  <c r="L9" i="12"/>
  <c r="L10" i="12"/>
  <c r="L8" i="12"/>
  <c r="H8" i="12"/>
  <c r="I8" i="12"/>
  <c r="H9" i="12"/>
  <c r="I9" i="12"/>
  <c r="H10" i="12"/>
  <c r="I10" i="12"/>
  <c r="G9" i="12"/>
  <c r="G10" i="12"/>
  <c r="G8" i="12"/>
  <c r="G13" i="35"/>
  <c r="L13" i="35"/>
  <c r="Q13" i="35"/>
  <c r="V13" i="35"/>
  <c r="Q13" i="34"/>
  <c r="V13" i="34"/>
  <c r="G13" i="34"/>
  <c r="L13" i="34"/>
  <c r="L13" i="33"/>
  <c r="V13" i="33"/>
  <c r="Q13" i="33"/>
  <c r="G13" i="33"/>
  <c r="L13" i="32"/>
  <c r="G13" i="32"/>
  <c r="Q13" i="32"/>
  <c r="V13" i="32"/>
  <c r="V13" i="31"/>
  <c r="G13" i="31"/>
  <c r="L13" i="31"/>
  <c r="Q13" i="31"/>
  <c r="V13" i="30"/>
  <c r="L13" i="30"/>
  <c r="Q13" i="30"/>
  <c r="G13" i="30"/>
  <c r="G13" i="29"/>
  <c r="L13" i="29"/>
  <c r="Q13" i="29"/>
  <c r="V13" i="28"/>
  <c r="G13" i="28"/>
  <c r="L13" i="28"/>
  <c r="V13" i="27"/>
  <c r="L13" i="27"/>
  <c r="Q13" i="27"/>
  <c r="G13" i="27"/>
  <c r="L13" i="26"/>
  <c r="G13" i="26"/>
  <c r="Q13" i="26"/>
  <c r="V13" i="26"/>
  <c r="G13" i="25"/>
  <c r="V13" i="25"/>
  <c r="L13" i="25"/>
  <c r="Q13" i="25"/>
  <c r="Q13" i="24"/>
  <c r="L13" i="24"/>
  <c r="G13" i="24"/>
  <c r="G13" i="23"/>
  <c r="L13" i="23"/>
  <c r="V13" i="23"/>
  <c r="Q13" i="23"/>
  <c r="G13" i="22"/>
  <c r="L13" i="22"/>
  <c r="V13" i="22"/>
  <c r="Q13" i="22"/>
  <c r="V13" i="21"/>
  <c r="G13" i="21"/>
  <c r="Q13" i="21"/>
  <c r="Q13" i="20"/>
  <c r="V13" i="20"/>
  <c r="G13" i="20"/>
  <c r="L13" i="20"/>
  <c r="V13" i="19"/>
  <c r="G13" i="19"/>
  <c r="L13" i="19"/>
  <c r="Q13" i="19"/>
  <c r="L13" i="18"/>
  <c r="G13" i="18"/>
  <c r="V13" i="18"/>
  <c r="Q13" i="18"/>
  <c r="L13" i="17"/>
  <c r="G13" i="17"/>
  <c r="V13" i="17"/>
  <c r="Q13" i="12"/>
  <c r="L13" i="12"/>
  <c r="V13" i="12"/>
  <c r="G13" i="12"/>
  <c r="L13" i="16"/>
  <c r="V13" i="16"/>
  <c r="Q13" i="16"/>
  <c r="G13" i="16"/>
  <c r="Q13" i="15"/>
  <c r="G13" i="15"/>
  <c r="L13" i="15"/>
  <c r="V13" i="15"/>
  <c r="G13" i="14"/>
  <c r="V13" i="14"/>
  <c r="L13" i="14"/>
  <c r="Q13" i="14"/>
  <c r="V13" i="13"/>
  <c r="G13" i="13"/>
  <c r="L13" i="13"/>
  <c r="Q13" i="13"/>
</calcChain>
</file>

<file path=xl/sharedStrings.xml><?xml version="1.0" encoding="utf-8"?>
<sst xmlns="http://schemas.openxmlformats.org/spreadsheetml/2006/main" count="1159" uniqueCount="28">
  <si>
    <t>cols regulators/rows targets</t>
  </si>
  <si>
    <t>id</t>
  </si>
  <si>
    <t>gene1</t>
  </si>
  <si>
    <t>gene2</t>
  </si>
  <si>
    <t>gene3</t>
  </si>
  <si>
    <t xml:space="preserve">Network structure: </t>
  </si>
  <si>
    <t xml:space="preserve">Input weights: </t>
  </si>
  <si>
    <t xml:space="preserve">P constant: </t>
  </si>
  <si>
    <t xml:space="preserve">No constant: </t>
  </si>
  <si>
    <t xml:space="preserve">B constant: </t>
  </si>
  <si>
    <t xml:space="preserve">PB constant: </t>
  </si>
  <si>
    <t>difference squared:</t>
  </si>
  <si>
    <t>sum:</t>
  </si>
  <si>
    <t>Trial</t>
  </si>
  <si>
    <t>B constant</t>
  </si>
  <si>
    <t>No constant</t>
  </si>
  <si>
    <t>P constant</t>
  </si>
  <si>
    <t>PB constant</t>
  </si>
  <si>
    <t>Making sure the expression data is good</t>
  </si>
  <si>
    <t>Sum</t>
  </si>
  <si>
    <t xml:space="preserve">Weights: </t>
  </si>
  <si>
    <t>Median</t>
  </si>
  <si>
    <t>Perm</t>
  </si>
  <si>
    <t>Weight 1</t>
  </si>
  <si>
    <t>Weight 2</t>
  </si>
  <si>
    <t>Weight 3</t>
  </si>
  <si>
    <t>Weight 4</t>
  </si>
  <si>
    <t>Sorted heatmap with conditional formating on the color: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</si>
</sst>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0E+00"/>
  </numFmts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37CB7"/>
        <bgColor indexed="64"/>
      </patternFill>
    </fill>
    <fill>
      <patternFill patternType="solid">
        <fgColor rgb="FFC0D9EE"/>
        <bgColor indexed="64"/>
      </patternFill>
    </fill>
    <fill>
      <patternFill patternType="solid">
        <fgColor rgb="FFC23939"/>
        <bgColor indexed="64"/>
      </patternFill>
    </fill>
    <fill>
      <patternFill patternType="solid">
        <fgColor rgb="FFECBEBE"/>
        <bgColor indexed="64"/>
      </patternFill>
    </fill>
  </fills>
  <borders count="1">
    <border>
      <left/>
      <right/>
      <top/>
      <bottom/>
      <diagonal/>
    </border>
  </borders>
  <cellStyleXfs count="35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6" fillId="0" borderId="0"/>
    <xf numFmtId="0" fontId="1" fillId="0" borderId="0"/>
  </cellStyleXfs>
  <cellXfs count="15">
    <xf numFmtId="0" fontId="0" fillId="0" borderId="0" xfId="0"/>
    <xf numFmtId="0" fontId="4" fillId="0" borderId="0" xfId="0" applyFont="1"/>
    <xf numFmtId="0" fontId="7" fillId="0" borderId="0" xfId="0" applyFont="1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8" fillId="0" borderId="0" xfId="0" applyFont="1"/>
    <xf numFmtId="0" fontId="1" fillId="0" borderId="0" xfId="0" applyFont="1"/>
    <xf numFmtId="165" fontId="1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9" fillId="2" borderId="0" xfId="0" applyFont="1" applyFill="1"/>
    <xf numFmtId="0" fontId="9" fillId="3" borderId="0" xfId="0" applyFont="1" applyFill="1"/>
    <xf numFmtId="0" fontId="9" fillId="5" borderId="0" xfId="0" applyFont="1" applyFill="1"/>
    <xf numFmtId="0" fontId="9" fillId="4" borderId="0" xfId="0" applyFont="1" applyFill="1"/>
  </cellXfs>
  <cellStyles count="3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2" xfId="349" xr:uid="{827A77F6-B8C5-423D-9C17-82CB36DD0FC2}"/>
    <cellStyle name="Normal 3" xfId="277" xr:uid="{00000000-0005-0000-0000-00005B010000}"/>
    <cellStyle name="Normal 3 2" xfId="350" xr:uid="{15796C32-93EF-4B35-A802-F9E0DA357C31}"/>
    <cellStyle name="Normal 4" xfId="348" xr:uid="{53C50B39-1D83-469D-BBDC-5270904EE3B2}"/>
  </cellStyles>
  <dxfs count="19">
    <dxf>
      <fill>
        <patternFill>
          <bgColor rgb="FFC23939"/>
        </patternFill>
      </fill>
    </dxf>
    <dxf>
      <fill>
        <patternFill>
          <bgColor rgb="FFC0D9EE"/>
        </patternFill>
      </fill>
    </dxf>
    <dxf>
      <fill>
        <patternFill>
          <bgColor rgb="FFECBEBE"/>
        </patternFill>
      </fill>
    </dxf>
    <dxf>
      <fill>
        <patternFill>
          <bgColor rgb="FF337CB7"/>
        </patternFill>
      </fill>
    </dxf>
    <dxf>
      <fill>
        <patternFill>
          <bgColor rgb="FFECBEBE"/>
        </patternFill>
      </fill>
    </dxf>
    <dxf>
      <fill>
        <patternFill>
          <bgColor rgb="FFC0D9EE"/>
        </patternFill>
      </fill>
    </dxf>
    <dxf>
      <fill>
        <patternFill>
          <bgColor rgb="FFC23939"/>
        </patternFill>
      </fill>
    </dxf>
    <dxf>
      <fill>
        <patternFill>
          <bgColor rgb="FFC0D9EE"/>
        </patternFill>
      </fill>
    </dxf>
    <dxf>
      <fill>
        <patternFill>
          <bgColor rgb="FFECBEBE"/>
        </patternFill>
      </fill>
    </dxf>
    <dxf>
      <fill>
        <patternFill>
          <bgColor rgb="FFECBEBE"/>
        </patternFill>
      </fill>
    </dxf>
    <dxf>
      <fill>
        <patternFill>
          <bgColor rgb="FFFF9999"/>
        </patternFill>
      </fill>
    </dxf>
    <dxf>
      <font>
        <strike val="0"/>
      </font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ont>
        <strike val="0"/>
      </font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</dxfs>
  <tableStyles count="0" defaultTableStyle="TableStyleMedium9" defaultPivotStyle="PivotStyleMedium4"/>
  <colors>
    <mruColors>
      <color rgb="FF337CB7"/>
      <color rgb="FFC23939"/>
      <color rgb="FFC0D9EE"/>
      <color rgb="FFECBEBE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20171330872593"/>
          <c:y val="3.4461951982191284E-2"/>
          <c:w val="0.88079828669127402"/>
          <c:h val="0.8630192912925477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Summary!$N$2:$N$25</c:f>
              <c:numCache>
                <c:formatCode>General</c:formatCode>
                <c:ptCount val="24"/>
                <c:pt idx="0" formatCode="0.00">
                  <c:v>19.2</c:v>
                </c:pt>
                <c:pt idx="1">
                  <c:v>19.14</c:v>
                </c:pt>
                <c:pt idx="2">
                  <c:v>19.04</c:v>
                </c:pt>
                <c:pt idx="3">
                  <c:v>19.22</c:v>
                </c:pt>
                <c:pt idx="4">
                  <c:v>19.190000000000001</c:v>
                </c:pt>
                <c:pt idx="5" formatCode="0.00">
                  <c:v>19.100000000000001</c:v>
                </c:pt>
                <c:pt idx="6">
                  <c:v>19.21</c:v>
                </c:pt>
                <c:pt idx="7">
                  <c:v>19.149999999999999</c:v>
                </c:pt>
                <c:pt idx="8">
                  <c:v>19.16</c:v>
                </c:pt>
                <c:pt idx="9">
                  <c:v>19.239999999999998</c:v>
                </c:pt>
                <c:pt idx="10">
                  <c:v>19.02</c:v>
                </c:pt>
                <c:pt idx="11">
                  <c:v>19.23</c:v>
                </c:pt>
                <c:pt idx="12">
                  <c:v>19.059999999999999</c:v>
                </c:pt>
                <c:pt idx="13">
                  <c:v>19.12</c:v>
                </c:pt>
                <c:pt idx="14">
                  <c:v>19.13</c:v>
                </c:pt>
                <c:pt idx="15">
                  <c:v>19.09</c:v>
                </c:pt>
                <c:pt idx="16">
                  <c:v>19.010000000000002</c:v>
                </c:pt>
                <c:pt idx="17">
                  <c:v>19.05</c:v>
                </c:pt>
                <c:pt idx="18">
                  <c:v>19.03</c:v>
                </c:pt>
                <c:pt idx="19">
                  <c:v>19.11</c:v>
                </c:pt>
                <c:pt idx="20">
                  <c:v>19.07</c:v>
                </c:pt>
                <c:pt idx="21">
                  <c:v>19.079999999999998</c:v>
                </c:pt>
                <c:pt idx="22">
                  <c:v>19.18</c:v>
                </c:pt>
                <c:pt idx="23">
                  <c:v>19.170000000000002</c:v>
                </c:pt>
              </c:numCache>
            </c:numRef>
          </c:cat>
          <c:val>
            <c:numRef>
              <c:f>Summary!$P$2:$P$25</c:f>
              <c:numCache>
                <c:formatCode>General</c:formatCode>
                <c:ptCount val="24"/>
                <c:pt idx="0">
                  <c:v>2.3332018733578362E-7</c:v>
                </c:pt>
                <c:pt idx="1">
                  <c:v>1.4199345186229222E-6</c:v>
                </c:pt>
                <c:pt idx="2">
                  <c:v>1.0312979041528754E-10</c:v>
                </c:pt>
                <c:pt idx="3">
                  <c:v>1.4199757995948576E-6</c:v>
                </c:pt>
                <c:pt idx="4">
                  <c:v>2.0477010436286962E-10</c:v>
                </c:pt>
                <c:pt idx="5">
                  <c:v>2.0477021575589668E-10</c:v>
                </c:pt>
                <c:pt idx="6">
                  <c:v>1.0312977635369039E-10</c:v>
                </c:pt>
                <c:pt idx="7">
                  <c:v>4.7249992214528933E-10</c:v>
                </c:pt>
                <c:pt idx="8">
                  <c:v>2.3331988787638911E-7</c:v>
                </c:pt>
                <c:pt idx="9">
                  <c:v>6.4617952305259628E-10</c:v>
                </c:pt>
                <c:pt idx="10">
                  <c:v>2.5180775969235166E-10</c:v>
                </c:pt>
                <c:pt idx="11">
                  <c:v>2.5180763563260601E-10</c:v>
                </c:pt>
                <c:pt idx="12">
                  <c:v>4.72499948167661E-10</c:v>
                </c:pt>
                <c:pt idx="13">
                  <c:v>2.6519440572611286E-10</c:v>
                </c:pt>
                <c:pt idx="14">
                  <c:v>2.6519442271199434E-10</c:v>
                </c:pt>
                <c:pt idx="15">
                  <c:v>2.0881440918891168E-12</c:v>
                </c:pt>
                <c:pt idx="16">
                  <c:v>2.0881437090631762E-12</c:v>
                </c:pt>
                <c:pt idx="17">
                  <c:v>2.0881437090631762E-12</c:v>
                </c:pt>
                <c:pt idx="18">
                  <c:v>2.5539783829298557E-12</c:v>
                </c:pt>
                <c:pt idx="19">
                  <c:v>2.5539762344854189E-12</c:v>
                </c:pt>
                <c:pt idx="20">
                  <c:v>2.6319783255222926E-8</c:v>
                </c:pt>
                <c:pt idx="21">
                  <c:v>6.4617947087495634E-10</c:v>
                </c:pt>
                <c:pt idx="22">
                  <c:v>2.6319800010841316E-8</c:v>
                </c:pt>
                <c:pt idx="23">
                  <c:v>4.0626556311774439E-8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FA-41CE-B7F7-2902C676AFB6}"/>
            </c:ext>
          </c:extLst>
        </c:ser>
        <c:ser>
          <c:idx val="1"/>
          <c:order val="1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Summary!$N$2:$N$25</c:f>
              <c:numCache>
                <c:formatCode>General</c:formatCode>
                <c:ptCount val="24"/>
                <c:pt idx="0" formatCode="0.00">
                  <c:v>19.2</c:v>
                </c:pt>
                <c:pt idx="1">
                  <c:v>19.14</c:v>
                </c:pt>
                <c:pt idx="2">
                  <c:v>19.04</c:v>
                </c:pt>
                <c:pt idx="3">
                  <c:v>19.22</c:v>
                </c:pt>
                <c:pt idx="4">
                  <c:v>19.190000000000001</c:v>
                </c:pt>
                <c:pt idx="5" formatCode="0.00">
                  <c:v>19.100000000000001</c:v>
                </c:pt>
                <c:pt idx="6">
                  <c:v>19.21</c:v>
                </c:pt>
                <c:pt idx="7">
                  <c:v>19.149999999999999</c:v>
                </c:pt>
                <c:pt idx="8">
                  <c:v>19.16</c:v>
                </c:pt>
                <c:pt idx="9">
                  <c:v>19.239999999999998</c:v>
                </c:pt>
                <c:pt idx="10">
                  <c:v>19.02</c:v>
                </c:pt>
                <c:pt idx="11">
                  <c:v>19.23</c:v>
                </c:pt>
                <c:pt idx="12">
                  <c:v>19.059999999999999</c:v>
                </c:pt>
                <c:pt idx="13">
                  <c:v>19.12</c:v>
                </c:pt>
                <c:pt idx="14">
                  <c:v>19.13</c:v>
                </c:pt>
                <c:pt idx="15">
                  <c:v>19.09</c:v>
                </c:pt>
                <c:pt idx="16">
                  <c:v>19.010000000000002</c:v>
                </c:pt>
                <c:pt idx="17">
                  <c:v>19.05</c:v>
                </c:pt>
                <c:pt idx="18">
                  <c:v>19.03</c:v>
                </c:pt>
                <c:pt idx="19">
                  <c:v>19.11</c:v>
                </c:pt>
                <c:pt idx="20">
                  <c:v>19.07</c:v>
                </c:pt>
                <c:pt idx="21">
                  <c:v>19.079999999999998</c:v>
                </c:pt>
                <c:pt idx="22">
                  <c:v>19.18</c:v>
                </c:pt>
                <c:pt idx="23">
                  <c:v>19.170000000000002</c:v>
                </c:pt>
              </c:numCache>
            </c:numRef>
          </c:cat>
          <c:val>
            <c:numRef>
              <c:f>Summary!$O$2:$O$25</c:f>
              <c:numCache>
                <c:formatCode>General</c:formatCode>
                <c:ptCount val="24"/>
                <c:pt idx="0">
                  <c:v>5.1527152796674733E-2</c:v>
                </c:pt>
                <c:pt idx="1">
                  <c:v>0.15400575172517667</c:v>
                </c:pt>
                <c:pt idx="2">
                  <c:v>0.17345373290931654</c:v>
                </c:pt>
                <c:pt idx="3">
                  <c:v>0.18769071637266901</c:v>
                </c:pt>
                <c:pt idx="4">
                  <c:v>0.23182367907598339</c:v>
                </c:pt>
                <c:pt idx="5">
                  <c:v>0.29665338239151751</c:v>
                </c:pt>
                <c:pt idx="6">
                  <c:v>0.33920256626643935</c:v>
                </c:pt>
                <c:pt idx="7">
                  <c:v>0.34260860307780583</c:v>
                </c:pt>
                <c:pt idx="8">
                  <c:v>0.34870634675575252</c:v>
                </c:pt>
                <c:pt idx="9">
                  <c:v>0.62062569880872542</c:v>
                </c:pt>
                <c:pt idx="10">
                  <c:v>0.82711497453429728</c:v>
                </c:pt>
                <c:pt idx="11">
                  <c:v>0.83138010914364335</c:v>
                </c:pt>
                <c:pt idx="12">
                  <c:v>0.9199480086205134</c:v>
                </c:pt>
                <c:pt idx="13">
                  <c:v>1.0344397810141184</c:v>
                </c:pt>
                <c:pt idx="14">
                  <c:v>1.0394427441154028</c:v>
                </c:pt>
                <c:pt idx="15">
                  <c:v>1.6943949993127694</c:v>
                </c:pt>
                <c:pt idx="16">
                  <c:v>1.9470856808913606</c:v>
                </c:pt>
                <c:pt idx="17">
                  <c:v>1.9470856808913606</c:v>
                </c:pt>
                <c:pt idx="18">
                  <c:v>2.5811204248726205</c:v>
                </c:pt>
                <c:pt idx="19">
                  <c:v>2.7223037365615141</c:v>
                </c:pt>
                <c:pt idx="20">
                  <c:v>3.0329403694450945</c:v>
                </c:pt>
                <c:pt idx="21">
                  <c:v>3.9638656453899062</c:v>
                </c:pt>
                <c:pt idx="22">
                  <c:v>4.3882642742190328</c:v>
                </c:pt>
                <c:pt idx="23">
                  <c:v>4.4820954895710683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FA-41CE-B7F7-2902C676A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2175359"/>
        <c:axId val="562176799"/>
      </c:barChart>
      <c:lineChart>
        <c:grouping val="standard"/>
        <c:varyColors val="0"/>
        <c:ser>
          <c:idx val="2"/>
          <c:order val="2"/>
          <c:tx>
            <c:strRef>
              <c:f>Summary!$Q$2:$Q$25</c:f>
              <c:strCache>
                <c:ptCount val="24"/>
                <c:pt idx="0">
                  <c:v>0.875664059</c:v>
                </c:pt>
                <c:pt idx="1">
                  <c:v>0.875664059</c:v>
                </c:pt>
                <c:pt idx="2">
                  <c:v>0.875664059</c:v>
                </c:pt>
                <c:pt idx="3">
                  <c:v>0.875664059</c:v>
                </c:pt>
                <c:pt idx="4">
                  <c:v>0.875664059</c:v>
                </c:pt>
                <c:pt idx="5">
                  <c:v>0.875664059</c:v>
                </c:pt>
                <c:pt idx="6">
                  <c:v>0.875664059</c:v>
                </c:pt>
                <c:pt idx="7">
                  <c:v>0.875664059</c:v>
                </c:pt>
                <c:pt idx="8">
                  <c:v>0.875664059</c:v>
                </c:pt>
                <c:pt idx="9">
                  <c:v>0.875664059</c:v>
                </c:pt>
                <c:pt idx="10">
                  <c:v>0.875664059</c:v>
                </c:pt>
                <c:pt idx="11">
                  <c:v>0.875664059</c:v>
                </c:pt>
                <c:pt idx="12">
                  <c:v>0.875664059</c:v>
                </c:pt>
                <c:pt idx="13">
                  <c:v>0.875664059</c:v>
                </c:pt>
                <c:pt idx="14">
                  <c:v>0.875664059</c:v>
                </c:pt>
                <c:pt idx="15">
                  <c:v>0.875664059</c:v>
                </c:pt>
                <c:pt idx="16">
                  <c:v>0.875664059</c:v>
                </c:pt>
                <c:pt idx="17">
                  <c:v>0.875664059</c:v>
                </c:pt>
                <c:pt idx="18">
                  <c:v>0.875664059</c:v>
                </c:pt>
                <c:pt idx="19">
                  <c:v>0.875664059</c:v>
                </c:pt>
                <c:pt idx="20">
                  <c:v>0.875664059</c:v>
                </c:pt>
                <c:pt idx="21">
                  <c:v>0.875664059</c:v>
                </c:pt>
                <c:pt idx="22">
                  <c:v>0.875664059</c:v>
                </c:pt>
                <c:pt idx="23">
                  <c:v>0.875664059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EC6-4E86-B272-FE82092D174E}"/>
            </c:ext>
          </c:extLst>
        </c:ser>
        <c:ser>
          <c:idx val="3"/>
          <c:order val="3"/>
          <c:tx>
            <c:strRef>
              <c:f>Summary!$R$2:$R$25</c:f>
              <c:strCache>
                <c:ptCount val="24"/>
                <c:pt idx="0">
                  <c:v>2.65194E-10</c:v>
                </c:pt>
                <c:pt idx="1">
                  <c:v>2.65194E-10</c:v>
                </c:pt>
                <c:pt idx="2">
                  <c:v>2.65194E-10</c:v>
                </c:pt>
                <c:pt idx="3">
                  <c:v>2.65194E-10</c:v>
                </c:pt>
                <c:pt idx="4">
                  <c:v>2.65194E-10</c:v>
                </c:pt>
                <c:pt idx="5">
                  <c:v>2.65194E-10</c:v>
                </c:pt>
                <c:pt idx="6">
                  <c:v>2.65194E-10</c:v>
                </c:pt>
                <c:pt idx="7">
                  <c:v>2.65194E-10</c:v>
                </c:pt>
                <c:pt idx="8">
                  <c:v>2.65194E-10</c:v>
                </c:pt>
                <c:pt idx="9">
                  <c:v>2.65194E-10</c:v>
                </c:pt>
                <c:pt idx="10">
                  <c:v>2.65194E-10</c:v>
                </c:pt>
                <c:pt idx="11">
                  <c:v>2.65194E-10</c:v>
                </c:pt>
                <c:pt idx="12">
                  <c:v>2.65194E-10</c:v>
                </c:pt>
                <c:pt idx="13">
                  <c:v>2.65194E-10</c:v>
                </c:pt>
                <c:pt idx="14">
                  <c:v>2.65194E-10</c:v>
                </c:pt>
                <c:pt idx="15">
                  <c:v>2.65194E-10</c:v>
                </c:pt>
                <c:pt idx="16">
                  <c:v>2.65194E-10</c:v>
                </c:pt>
                <c:pt idx="17">
                  <c:v>2.65194E-10</c:v>
                </c:pt>
                <c:pt idx="18">
                  <c:v>2.65194E-10</c:v>
                </c:pt>
                <c:pt idx="19">
                  <c:v>2.65194E-10</c:v>
                </c:pt>
                <c:pt idx="20">
                  <c:v>2.65194E-10</c:v>
                </c:pt>
                <c:pt idx="21">
                  <c:v>2.65194E-10</c:v>
                </c:pt>
                <c:pt idx="22">
                  <c:v>2.65194E-10</c:v>
                </c:pt>
                <c:pt idx="23">
                  <c:v>2.65194E-10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2EC6-4E86-B272-FE82092D174E}"/>
            </c:ext>
          </c:extLst>
        </c:ser>
        <c:ser>
          <c:idx val="4"/>
          <c:order val="4"/>
          <c:tx>
            <c:v>average_1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Summary!$Q$2:$Q$25</c:f>
              <c:numCache>
                <c:formatCode>General</c:formatCode>
                <c:ptCount val="24"/>
                <c:pt idx="0">
                  <c:v>0.87566405888207832</c:v>
                </c:pt>
                <c:pt idx="1">
                  <c:v>0.87566405888207832</c:v>
                </c:pt>
                <c:pt idx="2">
                  <c:v>0.87566405888207832</c:v>
                </c:pt>
                <c:pt idx="3">
                  <c:v>0.87566405888207832</c:v>
                </c:pt>
                <c:pt idx="4">
                  <c:v>0.87566405888207832</c:v>
                </c:pt>
                <c:pt idx="5">
                  <c:v>0.87566405888207832</c:v>
                </c:pt>
                <c:pt idx="6">
                  <c:v>0.87566405888207832</c:v>
                </c:pt>
                <c:pt idx="7">
                  <c:v>0.87566405888207832</c:v>
                </c:pt>
                <c:pt idx="8">
                  <c:v>0.87566405888207832</c:v>
                </c:pt>
                <c:pt idx="9">
                  <c:v>0.87566405888207832</c:v>
                </c:pt>
                <c:pt idx="10">
                  <c:v>0.87566405888207832</c:v>
                </c:pt>
                <c:pt idx="11">
                  <c:v>0.87566405888207832</c:v>
                </c:pt>
                <c:pt idx="12">
                  <c:v>0.87566405888207832</c:v>
                </c:pt>
                <c:pt idx="13">
                  <c:v>0.87566405888207832</c:v>
                </c:pt>
                <c:pt idx="14">
                  <c:v>0.87566405888207832</c:v>
                </c:pt>
                <c:pt idx="15">
                  <c:v>0.87566405888207832</c:v>
                </c:pt>
                <c:pt idx="16">
                  <c:v>0.87566405888207832</c:v>
                </c:pt>
                <c:pt idx="17">
                  <c:v>0.87566405888207832</c:v>
                </c:pt>
                <c:pt idx="18">
                  <c:v>0.87566405888207832</c:v>
                </c:pt>
                <c:pt idx="19">
                  <c:v>0.87566405888207832</c:v>
                </c:pt>
                <c:pt idx="20">
                  <c:v>0.87566405888207832</c:v>
                </c:pt>
                <c:pt idx="21">
                  <c:v>0.87566405888207832</c:v>
                </c:pt>
                <c:pt idx="22">
                  <c:v>0.87566405888207832</c:v>
                </c:pt>
                <c:pt idx="23">
                  <c:v>0.87566405888207832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C6-4E86-B272-FE82092D174E}"/>
            </c:ext>
          </c:extLst>
        </c:ser>
        <c:ser>
          <c:idx val="5"/>
          <c:order val="5"/>
          <c:tx>
            <c:v>average_2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Summary!$R$2:$R$25</c:f>
              <c:numCache>
                <c:formatCode>General</c:formatCode>
                <c:ptCount val="24"/>
                <c:pt idx="0">
                  <c:v>2.6519441421905363E-10</c:v>
                </c:pt>
                <c:pt idx="1">
                  <c:v>2.6519441421905363E-10</c:v>
                </c:pt>
                <c:pt idx="2">
                  <c:v>2.6519441421905363E-10</c:v>
                </c:pt>
                <c:pt idx="3">
                  <c:v>2.6519441421905363E-10</c:v>
                </c:pt>
                <c:pt idx="4">
                  <c:v>2.6519441421905363E-10</c:v>
                </c:pt>
                <c:pt idx="5">
                  <c:v>2.6519441421905363E-10</c:v>
                </c:pt>
                <c:pt idx="6">
                  <c:v>2.6519441421905363E-10</c:v>
                </c:pt>
                <c:pt idx="7">
                  <c:v>2.6519441421905363E-10</c:v>
                </c:pt>
                <c:pt idx="8">
                  <c:v>2.6519441421905363E-10</c:v>
                </c:pt>
                <c:pt idx="9">
                  <c:v>2.6519441421905363E-10</c:v>
                </c:pt>
                <c:pt idx="10">
                  <c:v>2.6519441421905363E-10</c:v>
                </c:pt>
                <c:pt idx="11">
                  <c:v>2.6519441421905363E-10</c:v>
                </c:pt>
                <c:pt idx="12">
                  <c:v>2.6519441421905363E-10</c:v>
                </c:pt>
                <c:pt idx="13">
                  <c:v>2.6519441421905363E-10</c:v>
                </c:pt>
                <c:pt idx="14">
                  <c:v>2.6519441421905363E-10</c:v>
                </c:pt>
                <c:pt idx="15">
                  <c:v>2.6519441421905363E-10</c:v>
                </c:pt>
                <c:pt idx="16">
                  <c:v>2.6519441421905363E-10</c:v>
                </c:pt>
                <c:pt idx="17">
                  <c:v>2.6519441421905363E-10</c:v>
                </c:pt>
                <c:pt idx="18">
                  <c:v>2.6519441421905363E-10</c:v>
                </c:pt>
                <c:pt idx="19">
                  <c:v>2.6519441421905363E-10</c:v>
                </c:pt>
                <c:pt idx="20">
                  <c:v>2.6519441421905363E-10</c:v>
                </c:pt>
                <c:pt idx="21">
                  <c:v>2.6519441421905363E-10</c:v>
                </c:pt>
                <c:pt idx="22">
                  <c:v>2.6519441421905363E-10</c:v>
                </c:pt>
                <c:pt idx="23">
                  <c:v>2.6519441421905363E-10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C6-4E86-B272-FE82092D1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175359"/>
        <c:axId val="562176799"/>
      </c:lineChart>
      <c:catAx>
        <c:axId val="56217535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176799"/>
        <c:crossesAt val="1.0000000000000007E-13"/>
        <c:auto val="1"/>
        <c:lblAlgn val="ctr"/>
        <c:lblOffset val="100"/>
        <c:noMultiLvlLbl val="0"/>
      </c:catAx>
      <c:valAx>
        <c:axId val="562176799"/>
        <c:scaling>
          <c:logBase val="10"/>
          <c:orientation val="minMax"/>
          <c:max val="100"/>
          <c:min val="1.0000000000000007E-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17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456261</xdr:colOff>
      <xdr:row>4</xdr:row>
      <xdr:rowOff>170828</xdr:rowOff>
    </xdr:from>
    <xdr:to>
      <xdr:col>32</xdr:col>
      <xdr:colOff>112961</xdr:colOff>
      <xdr:row>25</xdr:row>
      <xdr:rowOff>38202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0802E5-CB9F-B26A-80A9-2AA951407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E61B-BE84-4A33-B7F4-E18988BC470D}">
  <dimension ref="A1:AZ47"/>
  <sheetViews>
    <sheetView tabSelected="1" zoomScale="58" zoomScaleNormal="33" workbookViewId="0">
      <selection activeCell="K13" sqref="K13"/>
    </sheetView>
  </sheetViews>
  <sheetFormatPr defaultRowHeight="15.6" x14ac:dyDescent="0.3"/>
  <cols>
    <col min="7" max="7" width="13.5" bestFit="1" customWidth="1"/>
    <col min="8" max="10" width="12.3984375" bestFit="1" customWidth="1"/>
    <col min="11" max="11" width="10.3984375" bestFit="1" customWidth="1"/>
    <col min="16" max="16" width="12.19921875" bestFit="1" customWidth="1"/>
    <col min="18" max="18" width="12.296875" bestFit="1" customWidth="1"/>
    <col min="28" max="51" width="2.69921875" customWidth="1"/>
  </cols>
  <sheetData>
    <row r="1" spans="1:18" x14ac:dyDescent="0.3">
      <c r="A1" t="s">
        <v>5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19</v>
      </c>
      <c r="N1" t="s">
        <v>13</v>
      </c>
      <c r="O1" t="s">
        <v>15</v>
      </c>
      <c r="P1" t="s">
        <v>17</v>
      </c>
      <c r="Q1" t="s">
        <v>21</v>
      </c>
      <c r="R1" t="s">
        <v>21</v>
      </c>
    </row>
    <row r="2" spans="1:18" x14ac:dyDescent="0.3">
      <c r="A2" s="2" t="s">
        <v>0</v>
      </c>
      <c r="B2" s="2" t="s">
        <v>2</v>
      </c>
      <c r="C2" s="2" t="s">
        <v>3</v>
      </c>
      <c r="D2" s="2" t="s">
        <v>4</v>
      </c>
      <c r="F2" s="7">
        <v>19.010000000000002</v>
      </c>
      <c r="G2" s="8">
        <f>'19.01'!G13</f>
        <v>3.4219634982051488E-8</v>
      </c>
      <c r="H2" s="8">
        <f>'19.01'!L13</f>
        <v>1.9470856808913606</v>
      </c>
      <c r="I2" s="8">
        <f>'19.01'!Q13</f>
        <v>3.1233062677246984E-7</v>
      </c>
      <c r="J2" s="8">
        <f>'19.01'!V13</f>
        <v>2.0881437090631762E-12</v>
      </c>
      <c r="K2" s="8">
        <f>SUM(G2:J2)</f>
        <v>1.9470860274437103</v>
      </c>
      <c r="N2" s="10">
        <v>19.2</v>
      </c>
      <c r="O2">
        <v>5.1527152796674733E-2</v>
      </c>
      <c r="P2">
        <v>2.3332018733578362E-7</v>
      </c>
      <c r="Q2">
        <f>$O$26</f>
        <v>0.87566405888207832</v>
      </c>
      <c r="R2">
        <f>$P$26</f>
        <v>2.6519441421905363E-10</v>
      </c>
    </row>
    <row r="3" spans="1:18" x14ac:dyDescent="0.3">
      <c r="A3" s="2" t="s">
        <v>2</v>
      </c>
      <c r="B3" s="2">
        <v>1</v>
      </c>
      <c r="C3" s="2">
        <v>0</v>
      </c>
      <c r="D3" s="2">
        <v>0</v>
      </c>
      <c r="F3" s="7">
        <v>19.02</v>
      </c>
      <c r="G3" s="8">
        <f>'19.02'!G13</f>
        <v>0.24939176946012326</v>
      </c>
      <c r="H3" s="8">
        <f>'19.02'!L13</f>
        <v>0.82711497453429728</v>
      </c>
      <c r="I3" s="8">
        <f>'19.02'!Q13</f>
        <v>9.0735956523264673E-8</v>
      </c>
      <c r="J3" s="8">
        <f>'19.02'!V13</f>
        <v>2.5180775969235166E-10</v>
      </c>
      <c r="K3" s="8">
        <f t="shared" ref="K3:K25" si="0">SUM(G3:J3)</f>
        <v>1.0765068349821847</v>
      </c>
      <c r="N3">
        <v>19.14</v>
      </c>
      <c r="O3">
        <v>0.15400575172517667</v>
      </c>
      <c r="P3">
        <v>1.4199345186229222E-6</v>
      </c>
      <c r="Q3">
        <f>$O$26</f>
        <v>0.87566405888207832</v>
      </c>
      <c r="R3">
        <f>$P$26</f>
        <v>2.6519441421905363E-10</v>
      </c>
    </row>
    <row r="4" spans="1:18" x14ac:dyDescent="0.3">
      <c r="A4" s="2" t="s">
        <v>3</v>
      </c>
      <c r="B4" s="2">
        <v>0</v>
      </c>
      <c r="C4" s="2">
        <v>1</v>
      </c>
      <c r="D4" s="2">
        <v>0</v>
      </c>
      <c r="F4" s="7">
        <v>19.03</v>
      </c>
      <c r="G4" s="8">
        <f>'19.03'!G13</f>
        <v>3.6923107379614349E-8</v>
      </c>
      <c r="H4" s="8">
        <f>'19.03'!L13</f>
        <v>2.5811204248726205</v>
      </c>
      <c r="I4" s="8">
        <f>'19.03'!Q13</f>
        <v>2.2335302953543912E-7</v>
      </c>
      <c r="J4" s="8">
        <f>'19.03'!V13</f>
        <v>2.5539783829298557E-12</v>
      </c>
      <c r="K4" s="8">
        <f t="shared" si="0"/>
        <v>2.5811206851513111</v>
      </c>
      <c r="N4">
        <v>19.04</v>
      </c>
      <c r="O4">
        <v>0.17345373290931654</v>
      </c>
      <c r="P4">
        <v>1.0312979041528754E-10</v>
      </c>
      <c r="Q4">
        <f>$O$26</f>
        <v>0.87566405888207832</v>
      </c>
      <c r="R4">
        <f>$P$26</f>
        <v>2.6519441421905363E-10</v>
      </c>
    </row>
    <row r="5" spans="1:18" x14ac:dyDescent="0.3">
      <c r="A5" s="2" t="s">
        <v>4</v>
      </c>
      <c r="B5" s="2">
        <v>1</v>
      </c>
      <c r="C5" s="2">
        <v>1</v>
      </c>
      <c r="D5" s="2">
        <v>0</v>
      </c>
      <c r="F5" s="7">
        <v>19.04</v>
      </c>
      <c r="G5" s="8">
        <f>'19.04'!G13</f>
        <v>35.791325527887601</v>
      </c>
      <c r="H5" s="8">
        <f>'19.04'!L13</f>
        <v>0.17345373290931654</v>
      </c>
      <c r="I5" s="8">
        <f>'19.04'!Q13</f>
        <v>1.2757251133071866E-10</v>
      </c>
      <c r="J5" s="8">
        <f>'19.04'!V13</f>
        <v>1.0312979041528754E-10</v>
      </c>
      <c r="K5" s="8">
        <f t="shared" si="0"/>
        <v>35.964779261027616</v>
      </c>
      <c r="N5">
        <v>19.22</v>
      </c>
      <c r="O5">
        <v>0.18769071637266901</v>
      </c>
      <c r="P5">
        <v>1.4199757995948576E-6</v>
      </c>
      <c r="Q5">
        <f>$O$26</f>
        <v>0.87566405888207832</v>
      </c>
      <c r="R5">
        <f>$P$26</f>
        <v>2.6519441421905363E-10</v>
      </c>
    </row>
    <row r="6" spans="1:18" x14ac:dyDescent="0.3">
      <c r="F6" s="7">
        <v>19.05</v>
      </c>
      <c r="G6" s="8">
        <f>'19.05'!G13</f>
        <v>3.4219634982051488E-8</v>
      </c>
      <c r="H6" s="8">
        <f>'19.05'!L13</f>
        <v>1.9470856808913606</v>
      </c>
      <c r="I6" s="8">
        <f>'19.05'!Q13</f>
        <v>3.1233062677246984E-7</v>
      </c>
      <c r="J6" s="8">
        <f>'19.05'!V13</f>
        <v>2.0881437090631762E-12</v>
      </c>
      <c r="K6" s="8">
        <f t="shared" si="0"/>
        <v>1.9470860274437103</v>
      </c>
      <c r="N6">
        <v>19.190000000000001</v>
      </c>
      <c r="O6">
        <v>0.23182367907598339</v>
      </c>
      <c r="P6">
        <v>2.0477010436286962E-10</v>
      </c>
      <c r="Q6">
        <f>$O$26</f>
        <v>0.87566405888207832</v>
      </c>
      <c r="R6">
        <f>$P$26</f>
        <v>2.6519441421905363E-10</v>
      </c>
    </row>
    <row r="7" spans="1:18" x14ac:dyDescent="0.3">
      <c r="F7" s="7">
        <v>19.059999999999999</v>
      </c>
      <c r="G7" s="8">
        <f>'19.06'!G13</f>
        <v>9.9703269921006341E-3</v>
      </c>
      <c r="H7" s="8">
        <f>'19.06'!L13</f>
        <v>0.9199480086205134</v>
      </c>
      <c r="I7" s="8">
        <f>'19.06'!Q13</f>
        <v>1.5787184229986762E-7</v>
      </c>
      <c r="J7" s="8">
        <f>'19.06'!V13</f>
        <v>4.72499948167661E-10</v>
      </c>
      <c r="K7" s="8">
        <f t="shared" si="0"/>
        <v>0.92991849395695625</v>
      </c>
      <c r="N7" s="10">
        <v>19.100000000000001</v>
      </c>
      <c r="O7">
        <v>0.29665338239151751</v>
      </c>
      <c r="P7">
        <v>2.0477021575589668E-10</v>
      </c>
      <c r="Q7">
        <f>$O$26</f>
        <v>0.87566405888207832</v>
      </c>
      <c r="R7">
        <f>$P$26</f>
        <v>2.6519441421905363E-10</v>
      </c>
    </row>
    <row r="8" spans="1:18" x14ac:dyDescent="0.3">
      <c r="F8" s="7">
        <v>19.07</v>
      </c>
      <c r="G8" s="8">
        <f>'19.07'!G13</f>
        <v>5.3688353850021126E-4</v>
      </c>
      <c r="H8" s="8">
        <f>'19.07'!L13</f>
        <v>3.0329403694450945</v>
      </c>
      <c r="I8" s="8">
        <f>'19.07'!Q13</f>
        <v>6.8161965161012379E-9</v>
      </c>
      <c r="J8" s="8">
        <f>'19.07'!V13</f>
        <v>2.6319783255222926E-8</v>
      </c>
      <c r="K8" s="8">
        <f t="shared" si="0"/>
        <v>3.0334772861195742</v>
      </c>
      <c r="N8">
        <v>19.21</v>
      </c>
      <c r="O8">
        <v>0.33920256626643935</v>
      </c>
      <c r="P8">
        <v>1.0312977635369039E-10</v>
      </c>
      <c r="Q8">
        <f>$O$26</f>
        <v>0.87566405888207832</v>
      </c>
      <c r="R8">
        <f>$P$26</f>
        <v>2.6519441421905363E-10</v>
      </c>
    </row>
    <row r="9" spans="1:18" x14ac:dyDescent="0.3">
      <c r="F9" s="7">
        <v>19.079999999999998</v>
      </c>
      <c r="G9" s="8">
        <f>'19.08'!G13</f>
        <v>36.06465905410306</v>
      </c>
      <c r="H9" s="8">
        <f>'19.08'!L13</f>
        <v>3.9638656453899062</v>
      </c>
      <c r="I9" s="8">
        <f>'19.08'!Q13</f>
        <v>1.0115311527680793E-9</v>
      </c>
      <c r="J9" s="8">
        <f>'19.08'!V13</f>
        <v>6.4617947087495634E-10</v>
      </c>
      <c r="K9" s="8">
        <f t="shared" si="0"/>
        <v>40.02852470115068</v>
      </c>
      <c r="N9">
        <v>19.149999999999999</v>
      </c>
      <c r="O9">
        <v>0.34260860307780583</v>
      </c>
      <c r="P9">
        <v>4.7249992214528933E-10</v>
      </c>
      <c r="Q9">
        <f>$O$26</f>
        <v>0.87566405888207832</v>
      </c>
      <c r="R9">
        <f>$P$26</f>
        <v>2.6519441421905363E-10</v>
      </c>
    </row>
    <row r="10" spans="1:18" x14ac:dyDescent="0.3">
      <c r="F10" s="7">
        <v>19.09</v>
      </c>
      <c r="G10" s="8">
        <f>'19.09'!G13</f>
        <v>3.4219731157872054E-8</v>
      </c>
      <c r="H10" s="8">
        <f>'19.09'!L13</f>
        <v>1.6943949993127694</v>
      </c>
      <c r="I10" s="8">
        <f>'19.09'!Q13</f>
        <v>3.1233025131579268E-7</v>
      </c>
      <c r="J10" s="8">
        <f>'19.09'!V13</f>
        <v>2.0881440918891168E-12</v>
      </c>
      <c r="K10" s="8">
        <f t="shared" si="0"/>
        <v>1.6943953458648398</v>
      </c>
      <c r="N10">
        <v>19.16</v>
      </c>
      <c r="O10">
        <v>0.34870634675575252</v>
      </c>
      <c r="P10">
        <v>2.3331988787638911E-7</v>
      </c>
      <c r="Q10">
        <f>$O$26</f>
        <v>0.87566405888207832</v>
      </c>
      <c r="R10">
        <f>$P$26</f>
        <v>2.6519441421905363E-10</v>
      </c>
    </row>
    <row r="11" spans="1:18" x14ac:dyDescent="0.3">
      <c r="F11" s="9">
        <v>19.100000000000001</v>
      </c>
      <c r="G11" s="8">
        <f>'19.10'!G13</f>
        <v>23.343479746305036</v>
      </c>
      <c r="H11" s="8">
        <f>'19.10'!L13</f>
        <v>0.29665338239151751</v>
      </c>
      <c r="I11" s="8">
        <f>'19.10'!Q13</f>
        <v>1.6815659278604556E-10</v>
      </c>
      <c r="J11" s="8">
        <f>'19.10'!V13</f>
        <v>2.0477021575589668E-10</v>
      </c>
      <c r="K11" s="8">
        <f t="shared" si="0"/>
        <v>23.640133129069483</v>
      </c>
      <c r="N11">
        <v>19.239999999999998</v>
      </c>
      <c r="O11">
        <v>0.62062569880872542</v>
      </c>
      <c r="P11">
        <v>6.4617952305259628E-10</v>
      </c>
      <c r="Q11">
        <f>$O$26</f>
        <v>0.87566405888207832</v>
      </c>
      <c r="R11">
        <f>$P$26</f>
        <v>2.6519441421905363E-10</v>
      </c>
    </row>
    <row r="12" spans="1:18" x14ac:dyDescent="0.3">
      <c r="F12" s="7">
        <v>19.11</v>
      </c>
      <c r="G12" s="8">
        <f>'19.11'!G13</f>
        <v>3.6923015595420957E-8</v>
      </c>
      <c r="H12" s="8">
        <f>'19.11'!L13</f>
        <v>2.7223037365615141</v>
      </c>
      <c r="I12" s="8">
        <f>'19.11'!Q13</f>
        <v>2.233522306089684E-7</v>
      </c>
      <c r="J12" s="8">
        <f>'19.11'!V13</f>
        <v>2.5539762344854189E-12</v>
      </c>
      <c r="K12" s="8">
        <f t="shared" si="0"/>
        <v>2.7223039968393143</v>
      </c>
      <c r="N12">
        <v>19.02</v>
      </c>
      <c r="O12">
        <v>0.82711497453429728</v>
      </c>
      <c r="P12">
        <v>2.5180775969235166E-10</v>
      </c>
      <c r="Q12">
        <f>$O$26</f>
        <v>0.87566405888207832</v>
      </c>
      <c r="R12">
        <f>$P$26</f>
        <v>2.6519441421905363E-10</v>
      </c>
    </row>
    <row r="13" spans="1:18" x14ac:dyDescent="0.3">
      <c r="F13" s="7">
        <v>19.12</v>
      </c>
      <c r="G13" s="8">
        <f>'19.12'!G13</f>
        <v>26.473941812830073</v>
      </c>
      <c r="H13" s="8">
        <f>'19.12'!L13</f>
        <v>1.0344397810141184</v>
      </c>
      <c r="I13" s="8">
        <f>'19.12'!Q13</f>
        <v>3.4799839594317855E-10</v>
      </c>
      <c r="J13" s="8">
        <f>'19.12'!V13</f>
        <v>2.6519440572611286E-10</v>
      </c>
      <c r="K13" s="8">
        <f t="shared" si="0"/>
        <v>27.508381594457386</v>
      </c>
      <c r="N13">
        <v>19.23</v>
      </c>
      <c r="O13">
        <v>0.83138010914364335</v>
      </c>
      <c r="P13">
        <v>2.5180763563260601E-10</v>
      </c>
      <c r="Q13">
        <f>$O$26</f>
        <v>0.87566405888207832</v>
      </c>
      <c r="R13">
        <f>$P$26</f>
        <v>2.6519441421905363E-10</v>
      </c>
    </row>
    <row r="14" spans="1:18" x14ac:dyDescent="0.3">
      <c r="F14" s="7">
        <v>19.13</v>
      </c>
      <c r="G14" s="8">
        <f>'19.13'!G13</f>
        <v>11.804979181119378</v>
      </c>
      <c r="H14" s="7">
        <f>'19.13'!L13</f>
        <v>1.0394427441154028</v>
      </c>
      <c r="I14" s="7">
        <f>'19.13'!Q13</f>
        <v>3.4799832169590451E-10</v>
      </c>
      <c r="J14" s="7">
        <f>'19.13'!V13</f>
        <v>2.6519442271199434E-10</v>
      </c>
      <c r="K14" s="8">
        <f t="shared" si="0"/>
        <v>12.844421925847975</v>
      </c>
      <c r="N14">
        <v>19.059999999999999</v>
      </c>
      <c r="O14">
        <v>0.9199480086205134</v>
      </c>
      <c r="P14">
        <v>4.72499948167661E-10</v>
      </c>
      <c r="Q14">
        <f>$O$26</f>
        <v>0.87566405888207832</v>
      </c>
      <c r="R14">
        <f>$P$26</f>
        <v>2.6519441421905363E-10</v>
      </c>
    </row>
    <row r="15" spans="1:18" x14ac:dyDescent="0.3">
      <c r="F15" s="7">
        <v>19.14</v>
      </c>
      <c r="G15" s="7">
        <f>'19.14'!G13</f>
        <v>9.0824317747862593E-2</v>
      </c>
      <c r="H15" s="7">
        <f>'19.14'!L13</f>
        <v>0.15400575172517667</v>
      </c>
      <c r="I15" s="7">
        <f>'19.14'!Q13</f>
        <v>4.7034120705333598E-11</v>
      </c>
      <c r="J15" s="7">
        <f>'19.14'!V13</f>
        <v>1.4199345186229222E-6</v>
      </c>
      <c r="K15" s="8">
        <f t="shared" si="0"/>
        <v>0.24483148945459202</v>
      </c>
      <c r="N15">
        <v>19.12</v>
      </c>
      <c r="O15">
        <v>1.0344397810141184</v>
      </c>
      <c r="P15">
        <v>2.6519440572611286E-10</v>
      </c>
      <c r="Q15">
        <f>$O$26</f>
        <v>0.87566405888207832</v>
      </c>
      <c r="R15">
        <f>$P$26</f>
        <v>2.6519441421905363E-10</v>
      </c>
    </row>
    <row r="16" spans="1:18" x14ac:dyDescent="0.3">
      <c r="F16" s="7">
        <v>19.149999999999999</v>
      </c>
      <c r="G16" s="7">
        <f>'19.15'!G13</f>
        <v>1.7618407771361963E-4</v>
      </c>
      <c r="H16" s="7">
        <f>'19.15'!L13</f>
        <v>0.34260860307780583</v>
      </c>
      <c r="I16" s="7">
        <f>'19.15'!Q13</f>
        <v>1.5787218035530715E-7</v>
      </c>
      <c r="J16" s="7">
        <f>'19.15'!V13</f>
        <v>4.7249992214528933E-10</v>
      </c>
      <c r="K16" s="8">
        <f t="shared" si="0"/>
        <v>0.34278494550019972</v>
      </c>
      <c r="N16">
        <v>19.13</v>
      </c>
      <c r="O16">
        <v>1.0394427441154028</v>
      </c>
      <c r="P16">
        <v>2.6519442271199434E-10</v>
      </c>
      <c r="Q16">
        <f>$O$26</f>
        <v>0.87566405888207832</v>
      </c>
      <c r="R16">
        <f>$P$26</f>
        <v>2.6519441421905363E-10</v>
      </c>
    </row>
    <row r="17" spans="1:52" x14ac:dyDescent="0.3">
      <c r="F17" s="7">
        <v>19.16</v>
      </c>
      <c r="G17" s="7">
        <f>'19.16'!G13</f>
        <v>8.0934337993507091E-2</v>
      </c>
      <c r="H17" s="7">
        <f>'19.16'!L13</f>
        <v>0.34870634675575252</v>
      </c>
      <c r="I17" s="7">
        <f>'19.16'!Q13</f>
        <v>2.2640223938671726E-8</v>
      </c>
      <c r="J17" s="7">
        <f>'19.16'!V13</f>
        <v>2.3331988787638911E-7</v>
      </c>
      <c r="K17" s="8">
        <f t="shared" si="0"/>
        <v>0.42964094070937137</v>
      </c>
      <c r="N17">
        <v>19.09</v>
      </c>
      <c r="O17">
        <v>1.6943949993127694</v>
      </c>
      <c r="P17">
        <v>2.0881440918891168E-12</v>
      </c>
      <c r="Q17">
        <f>$O$26</f>
        <v>0.87566405888207832</v>
      </c>
      <c r="R17">
        <f>$P$26</f>
        <v>2.6519441421905363E-10</v>
      </c>
      <c r="AB17" s="6">
        <v>-2</v>
      </c>
      <c r="AC17" s="6">
        <v>-2</v>
      </c>
      <c r="AD17" s="6">
        <v>-1</v>
      </c>
      <c r="AE17" s="6">
        <v>-1</v>
      </c>
      <c r="AF17" s="6">
        <v>-2</v>
      </c>
      <c r="AG17" s="6">
        <v>2</v>
      </c>
      <c r="AH17" s="6">
        <v>-2</v>
      </c>
      <c r="AI17" s="6">
        <v>2</v>
      </c>
      <c r="AJ17" s="6">
        <v>-2</v>
      </c>
      <c r="AK17" s="6">
        <v>2</v>
      </c>
      <c r="AL17" s="6">
        <v>-2</v>
      </c>
      <c r="AM17" s="6">
        <v>-1</v>
      </c>
      <c r="AN17" s="6">
        <v>1</v>
      </c>
      <c r="AO17" s="6">
        <v>1</v>
      </c>
      <c r="AP17" s="6">
        <v>-2</v>
      </c>
      <c r="AQ17" s="6">
        <v>-1</v>
      </c>
      <c r="AR17" s="6">
        <v>2</v>
      </c>
      <c r="AS17" s="6">
        <v>-1</v>
      </c>
      <c r="AT17" s="6">
        <v>1</v>
      </c>
      <c r="AU17" s="6">
        <v>1</v>
      </c>
      <c r="AV17" s="6">
        <v>1</v>
      </c>
      <c r="AW17" s="6">
        <v>-2</v>
      </c>
      <c r="AX17" s="6">
        <v>1</v>
      </c>
      <c r="AY17" s="6">
        <v>2</v>
      </c>
      <c r="AZ17" s="6"/>
    </row>
    <row r="18" spans="1:52" x14ac:dyDescent="0.3">
      <c r="F18" s="7">
        <v>19.170000000000002</v>
      </c>
      <c r="G18" s="7">
        <f>'19.17'!G13</f>
        <v>34.594684940693149</v>
      </c>
      <c r="H18" s="7">
        <f>'19.17'!L13</f>
        <v>4.4820954895710683</v>
      </c>
      <c r="I18" s="7">
        <f>'19.17'!Q13</f>
        <v>4.4448083847028843E-8</v>
      </c>
      <c r="J18" s="7">
        <f>'19.17'!V13</f>
        <v>4.0626556311774439E-8</v>
      </c>
      <c r="K18" s="8">
        <f t="shared" si="0"/>
        <v>39.076780515338854</v>
      </c>
      <c r="N18">
        <v>19.010000000000002</v>
      </c>
      <c r="O18">
        <v>1.9470856808913606</v>
      </c>
      <c r="P18">
        <v>2.0881437090631762E-12</v>
      </c>
      <c r="Q18">
        <f>$O$26</f>
        <v>0.87566405888207832</v>
      </c>
      <c r="R18">
        <f>$P$26</f>
        <v>2.6519441421905363E-10</v>
      </c>
      <c r="AB18" s="6">
        <v>-1</v>
      </c>
      <c r="AC18" s="6">
        <v>2</v>
      </c>
      <c r="AD18" s="6">
        <v>1</v>
      </c>
      <c r="AE18" s="6">
        <v>2</v>
      </c>
      <c r="AF18" s="6">
        <v>1</v>
      </c>
      <c r="AG18" s="6">
        <v>-1</v>
      </c>
      <c r="AH18" s="6">
        <v>1</v>
      </c>
      <c r="AI18" s="6">
        <v>-2</v>
      </c>
      <c r="AJ18" s="6">
        <v>-1</v>
      </c>
      <c r="AK18" s="6">
        <v>1</v>
      </c>
      <c r="AL18" s="6">
        <v>-1</v>
      </c>
      <c r="AM18" s="6">
        <v>2</v>
      </c>
      <c r="AN18" s="6">
        <v>-2</v>
      </c>
      <c r="AO18" s="6">
        <v>-1</v>
      </c>
      <c r="AP18" s="6">
        <v>2</v>
      </c>
      <c r="AQ18" s="6">
        <v>-2</v>
      </c>
      <c r="AR18" s="6">
        <v>1</v>
      </c>
      <c r="AS18" s="6">
        <v>-2</v>
      </c>
      <c r="AT18" s="6">
        <v>2</v>
      </c>
      <c r="AU18" s="6">
        <v>2</v>
      </c>
      <c r="AV18" s="6">
        <v>-1</v>
      </c>
      <c r="AW18" s="6">
        <v>-1</v>
      </c>
      <c r="AX18" s="6">
        <v>-2</v>
      </c>
      <c r="AY18" s="6">
        <v>-1</v>
      </c>
      <c r="AZ18" s="6"/>
    </row>
    <row r="19" spans="1:52" x14ac:dyDescent="0.3">
      <c r="F19" s="7">
        <v>19.18</v>
      </c>
      <c r="G19" s="7">
        <f>'19.18'!G13</f>
        <v>5.3687312217221863E-4</v>
      </c>
      <c r="H19" s="7">
        <f>'19.18'!L13</f>
        <v>4.3882642742190328</v>
      </c>
      <c r="I19" s="7">
        <f>'19.18'!Q13</f>
        <v>6.8161982062270272E-9</v>
      </c>
      <c r="J19" s="7">
        <f>'19.18'!V13</f>
        <v>2.6319800010841316E-8</v>
      </c>
      <c r="K19" s="8">
        <f t="shared" si="0"/>
        <v>4.3888011804772029</v>
      </c>
      <c r="N19">
        <v>19.05</v>
      </c>
      <c r="O19">
        <v>1.9470856808913606</v>
      </c>
      <c r="P19">
        <v>2.0881437090631762E-12</v>
      </c>
      <c r="Q19">
        <f>$O$26</f>
        <v>0.87566405888207832</v>
      </c>
      <c r="R19">
        <f>$P$26</f>
        <v>2.6519441421905363E-10</v>
      </c>
      <c r="AB19" s="6">
        <v>1</v>
      </c>
      <c r="AC19" s="6">
        <v>-1</v>
      </c>
      <c r="AD19" s="6">
        <v>-2</v>
      </c>
      <c r="AE19" s="6">
        <v>-2</v>
      </c>
      <c r="AF19" s="6">
        <v>-1</v>
      </c>
      <c r="AG19" s="6">
        <v>-2</v>
      </c>
      <c r="AH19" s="6">
        <v>2</v>
      </c>
      <c r="AI19" s="6">
        <v>-1</v>
      </c>
      <c r="AJ19" s="6">
        <v>1</v>
      </c>
      <c r="AK19" s="6">
        <v>-2</v>
      </c>
      <c r="AL19" s="6">
        <v>2</v>
      </c>
      <c r="AM19" s="6">
        <v>1</v>
      </c>
      <c r="AN19" s="6">
        <v>-1</v>
      </c>
      <c r="AO19" s="6">
        <v>-2</v>
      </c>
      <c r="AP19" s="6">
        <v>1</v>
      </c>
      <c r="AQ19" s="6">
        <v>2</v>
      </c>
      <c r="AR19" s="6">
        <v>-1</v>
      </c>
      <c r="AS19" s="6">
        <v>1</v>
      </c>
      <c r="AT19" s="6">
        <v>-1</v>
      </c>
      <c r="AU19" s="6">
        <v>-2</v>
      </c>
      <c r="AV19" s="6">
        <v>2</v>
      </c>
      <c r="AW19" s="6">
        <v>2</v>
      </c>
      <c r="AX19" s="6">
        <v>2</v>
      </c>
      <c r="AY19" s="6">
        <v>1</v>
      </c>
      <c r="AZ19" s="6"/>
    </row>
    <row r="20" spans="1:52" x14ac:dyDescent="0.3">
      <c r="F20" s="7">
        <v>19.190000000000001</v>
      </c>
      <c r="G20" s="7">
        <f>'19.19'!G13</f>
        <v>23.348066962571913</v>
      </c>
      <c r="H20" s="7">
        <f>'19.19'!L13</f>
        <v>0.23182367907598339</v>
      </c>
      <c r="I20" s="7">
        <f>'19.19'!Q13</f>
        <v>1.6815655624445104E-10</v>
      </c>
      <c r="J20" s="7">
        <f>'19.19'!V13</f>
        <v>2.0477010436286962E-10</v>
      </c>
      <c r="K20" s="8">
        <f t="shared" si="0"/>
        <v>23.579890642020825</v>
      </c>
      <c r="N20">
        <v>19.03</v>
      </c>
      <c r="O20">
        <v>2.5811204248726205</v>
      </c>
      <c r="P20">
        <v>2.5539783829298557E-12</v>
      </c>
      <c r="Q20">
        <f>$O$26</f>
        <v>0.87566405888207832</v>
      </c>
      <c r="R20">
        <f>$P$26</f>
        <v>2.6519441421905363E-10</v>
      </c>
      <c r="AB20" s="6">
        <v>2</v>
      </c>
      <c r="AC20" s="6">
        <v>1</v>
      </c>
      <c r="AD20" s="6">
        <v>2</v>
      </c>
      <c r="AE20" s="6">
        <v>1</v>
      </c>
      <c r="AF20" s="6">
        <v>2</v>
      </c>
      <c r="AG20" s="6">
        <v>1</v>
      </c>
      <c r="AH20" s="6">
        <v>-1</v>
      </c>
      <c r="AI20" s="6">
        <v>1</v>
      </c>
      <c r="AJ20" s="6">
        <v>2</v>
      </c>
      <c r="AK20" s="6">
        <v>-1</v>
      </c>
      <c r="AL20" s="6">
        <v>1</v>
      </c>
      <c r="AM20" s="6">
        <v>-2</v>
      </c>
      <c r="AN20" s="6">
        <v>2</v>
      </c>
      <c r="AO20" s="6">
        <v>2</v>
      </c>
      <c r="AP20" s="6">
        <v>-1</v>
      </c>
      <c r="AQ20" s="6">
        <v>1</v>
      </c>
      <c r="AR20" s="6">
        <v>-2</v>
      </c>
      <c r="AS20" s="6">
        <v>2</v>
      </c>
      <c r="AT20" s="6">
        <v>-2</v>
      </c>
      <c r="AU20" s="6">
        <v>-1</v>
      </c>
      <c r="AV20" s="6">
        <v>-2</v>
      </c>
      <c r="AW20" s="6">
        <v>1</v>
      </c>
      <c r="AX20" s="6">
        <v>-1</v>
      </c>
      <c r="AY20" s="6">
        <v>-2</v>
      </c>
      <c r="AZ20" s="6"/>
    </row>
    <row r="21" spans="1:52" x14ac:dyDescent="0.3">
      <c r="F21" s="9">
        <v>19.2</v>
      </c>
      <c r="G21" s="7">
        <f>'19.20'!G13</f>
        <v>8.0942897593846666E-2</v>
      </c>
      <c r="H21" s="7">
        <f>'19.20'!L13</f>
        <v>5.1527152796674733E-2</v>
      </c>
      <c r="I21" s="7">
        <f>'19.20'!Q13</f>
        <v>2.2640224977801905E-8</v>
      </c>
      <c r="J21" s="7">
        <f>'19.20'!V13</f>
        <v>2.3332018733578362E-7</v>
      </c>
      <c r="K21" s="8">
        <f t="shared" si="0"/>
        <v>0.13247030635093371</v>
      </c>
      <c r="N21">
        <v>19.11</v>
      </c>
      <c r="O21">
        <v>2.7223037365615141</v>
      </c>
      <c r="P21">
        <v>2.5539762344854189E-12</v>
      </c>
      <c r="Q21">
        <f>$O$26</f>
        <v>0.87566405888207832</v>
      </c>
      <c r="R21">
        <f>$P$26</f>
        <v>2.6519441421905363E-10</v>
      </c>
    </row>
    <row r="22" spans="1:52" x14ac:dyDescent="0.3">
      <c r="F22" s="7">
        <v>19.21</v>
      </c>
      <c r="G22" s="7">
        <f>'19.21'!G13</f>
        <v>19.803614519761272</v>
      </c>
      <c r="H22" s="7">
        <f>'19.21'!L13</f>
        <v>0.33920256626643935</v>
      </c>
      <c r="I22" s="7">
        <f>'19.21'!Q13</f>
        <v>1.2757256766379977E-10</v>
      </c>
      <c r="J22" s="7">
        <f>'19.21'!V13</f>
        <v>1.0312977635369039E-10</v>
      </c>
      <c r="K22" s="8">
        <f t="shared" si="0"/>
        <v>20.142817086258411</v>
      </c>
      <c r="N22">
        <v>19.07</v>
      </c>
      <c r="O22">
        <v>3.0329403694450945</v>
      </c>
      <c r="P22">
        <v>2.6319783255222926E-8</v>
      </c>
      <c r="Q22">
        <f>$O$26</f>
        <v>0.87566405888207832</v>
      </c>
      <c r="R22">
        <f>$P$26</f>
        <v>2.6519441421905363E-10</v>
      </c>
    </row>
    <row r="23" spans="1:52" x14ac:dyDescent="0.3">
      <c r="F23" s="9">
        <v>19.22</v>
      </c>
      <c r="G23" s="7">
        <f>'19.22'!G13</f>
        <v>9.0860358566219671E-2</v>
      </c>
      <c r="H23" s="7">
        <f>'19.22'!L13</f>
        <v>0.18769071637266901</v>
      </c>
      <c r="I23" s="7">
        <f>'19.22'!Q13</f>
        <v>4.7034217252320521E-11</v>
      </c>
      <c r="J23" s="7">
        <f>'19.22'!V13</f>
        <v>1.4199757995948576E-6</v>
      </c>
      <c r="K23" s="8">
        <f t="shared" si="0"/>
        <v>0.27855249496172252</v>
      </c>
      <c r="N23">
        <v>19.079999999999998</v>
      </c>
      <c r="O23">
        <v>3.9638656453899062</v>
      </c>
      <c r="P23">
        <v>6.4617947087495634E-10</v>
      </c>
      <c r="Q23">
        <f>$O$26</f>
        <v>0.87566405888207832</v>
      </c>
      <c r="R23">
        <f>$P$26</f>
        <v>2.6519441421905363E-10</v>
      </c>
    </row>
    <row r="24" spans="1:52" x14ac:dyDescent="0.3">
      <c r="F24" s="7">
        <v>19.23</v>
      </c>
      <c r="G24" s="7">
        <f>'19.23'!G13</f>
        <v>0.25281200957924188</v>
      </c>
      <c r="H24" s="7">
        <f>'19.23'!L13</f>
        <v>0.83138010914364335</v>
      </c>
      <c r="I24" s="7">
        <f>'19.23'!Q13</f>
        <v>9.0734496827936281E-8</v>
      </c>
      <c r="J24" s="7">
        <f>'19.23'!V13</f>
        <v>2.5180763563260601E-10</v>
      </c>
      <c r="K24" s="8">
        <f t="shared" si="0"/>
        <v>1.0841922097091896</v>
      </c>
      <c r="N24">
        <v>19.18</v>
      </c>
      <c r="O24">
        <v>4.3882642742190328</v>
      </c>
      <c r="P24">
        <v>2.6319800010841316E-8</v>
      </c>
      <c r="Q24">
        <f>$O$26</f>
        <v>0.87566405888207832</v>
      </c>
      <c r="R24">
        <f>$P$26</f>
        <v>2.6519441421905363E-10</v>
      </c>
    </row>
    <row r="25" spans="1:52" x14ac:dyDescent="0.3">
      <c r="F25" s="7">
        <v>19.239999999999998</v>
      </c>
      <c r="G25" s="7">
        <f>'19.24'!G13</f>
        <v>33.766680992616145</v>
      </c>
      <c r="H25" s="7">
        <f>'19.24'!L13</f>
        <v>0.62062569880872542</v>
      </c>
      <c r="I25" s="7">
        <f>'19.24'!Q13</f>
        <v>1.0115307428400185E-9</v>
      </c>
      <c r="J25" s="7">
        <f>'19.24'!V13</f>
        <v>6.4617952305259628E-10</v>
      </c>
      <c r="K25" s="8">
        <f t="shared" si="0"/>
        <v>34.387306693082579</v>
      </c>
      <c r="N25">
        <v>19.170000000000002</v>
      </c>
      <c r="O25">
        <v>4.4820954895710683</v>
      </c>
      <c r="P25">
        <v>4.0626556311774439E-8</v>
      </c>
      <c r="Q25">
        <f>$O$26</f>
        <v>0.87566405888207832</v>
      </c>
      <c r="R25">
        <f>$P$26</f>
        <v>2.6519441421905363E-10</v>
      </c>
    </row>
    <row r="26" spans="1:52" x14ac:dyDescent="0.3">
      <c r="G26" s="5">
        <f>SUM(G2:G25)</f>
        <v>245.84841887306408</v>
      </c>
      <c r="H26" s="5">
        <f t="shared" ref="H26:J26" si="1">SUM(H2:H25)</f>
        <v>34.157779548762761</v>
      </c>
      <c r="I26" s="5">
        <f t="shared" si="1"/>
        <v>1.9876767536765759E-6</v>
      </c>
      <c r="J26" s="5">
        <f t="shared" si="1"/>
        <v>3.4037150683688097E-6</v>
      </c>
      <c r="O26">
        <f>MEDIAN(O2:O25)</f>
        <v>0.87566405888207832</v>
      </c>
      <c r="P26">
        <f>MEDIAN(P2:P25)</f>
        <v>2.6519441421905363E-10</v>
      </c>
    </row>
    <row r="31" spans="1:52" x14ac:dyDescent="0.3">
      <c r="A31" t="s">
        <v>20</v>
      </c>
      <c r="AB31" s="11">
        <v>-2</v>
      </c>
      <c r="AC31" s="12">
        <v>-1</v>
      </c>
      <c r="AD31" s="12">
        <v>-1</v>
      </c>
      <c r="AE31" s="11">
        <v>-2</v>
      </c>
      <c r="AF31" s="13">
        <v>1</v>
      </c>
      <c r="AG31" s="13">
        <v>1</v>
      </c>
      <c r="AH31" s="14">
        <v>2</v>
      </c>
      <c r="AI31" s="14">
        <v>2</v>
      </c>
      <c r="AJ31" s="12">
        <v>-1</v>
      </c>
      <c r="AK31" s="11">
        <v>-2</v>
      </c>
      <c r="AL31" s="13">
        <v>1</v>
      </c>
      <c r="AM31" s="14">
        <v>2</v>
      </c>
      <c r="AN31" s="11">
        <v>-2</v>
      </c>
      <c r="AO31" s="12">
        <v>-1</v>
      </c>
      <c r="AP31" s="13">
        <v>1</v>
      </c>
      <c r="AQ31" s="14">
        <v>2</v>
      </c>
      <c r="AR31" s="12">
        <v>-1</v>
      </c>
      <c r="AS31" s="14">
        <v>2</v>
      </c>
      <c r="AT31" s="11">
        <v>-2</v>
      </c>
      <c r="AU31" s="11">
        <v>-2</v>
      </c>
      <c r="AV31" s="14">
        <v>2</v>
      </c>
      <c r="AW31" s="13">
        <v>1</v>
      </c>
      <c r="AX31" s="12">
        <v>-1</v>
      </c>
      <c r="AY31" s="13">
        <v>1</v>
      </c>
    </row>
    <row r="32" spans="1:52" x14ac:dyDescent="0.3">
      <c r="A32" t="s">
        <v>22</v>
      </c>
      <c r="B32" s="10">
        <v>19.010000000000002</v>
      </c>
      <c r="C32" s="10">
        <v>19.02</v>
      </c>
      <c r="D32" s="10">
        <v>19.03</v>
      </c>
      <c r="E32" s="10">
        <v>19.04</v>
      </c>
      <c r="F32" s="10">
        <v>19.05</v>
      </c>
      <c r="G32" s="10">
        <v>19.059999999999999</v>
      </c>
      <c r="H32" s="10">
        <v>19.07</v>
      </c>
      <c r="I32" s="10">
        <v>19.079999999999998</v>
      </c>
      <c r="J32" s="10">
        <v>19.09</v>
      </c>
      <c r="K32" s="10">
        <v>19.100000000000001</v>
      </c>
      <c r="L32" s="10">
        <v>19.11</v>
      </c>
      <c r="M32" s="10">
        <v>19.12</v>
      </c>
      <c r="N32" s="10">
        <v>19.13</v>
      </c>
      <c r="O32" s="10">
        <v>19.14</v>
      </c>
      <c r="P32" s="10">
        <v>19.149999999999999</v>
      </c>
      <c r="Q32" s="10">
        <v>19.16</v>
      </c>
      <c r="R32" s="10">
        <v>19.170000000000002</v>
      </c>
      <c r="S32" s="10">
        <v>19.18</v>
      </c>
      <c r="T32" s="10">
        <v>19.190000000000001</v>
      </c>
      <c r="U32" s="10">
        <v>19.2</v>
      </c>
      <c r="V32" s="10">
        <v>19.21</v>
      </c>
      <c r="W32" s="10">
        <v>19.22</v>
      </c>
      <c r="X32" s="10">
        <v>19.23</v>
      </c>
      <c r="Y32" s="10">
        <v>19.239999999999998</v>
      </c>
      <c r="AB32" s="12">
        <v>-1</v>
      </c>
      <c r="AC32" s="11">
        <v>-2</v>
      </c>
      <c r="AD32" s="11">
        <v>-2</v>
      </c>
      <c r="AE32" s="12">
        <v>-1</v>
      </c>
      <c r="AF32" s="11">
        <v>-2</v>
      </c>
      <c r="AG32" s="14">
        <v>2</v>
      </c>
      <c r="AH32" s="13">
        <v>1</v>
      </c>
      <c r="AI32" s="12">
        <v>-1</v>
      </c>
      <c r="AJ32" s="14">
        <v>2</v>
      </c>
      <c r="AK32" s="13">
        <v>1</v>
      </c>
      <c r="AL32" s="11">
        <v>-2</v>
      </c>
      <c r="AM32" s="11">
        <v>-2</v>
      </c>
      <c r="AN32" s="14">
        <v>2</v>
      </c>
      <c r="AO32" s="14">
        <v>2</v>
      </c>
      <c r="AP32" s="12">
        <v>-1</v>
      </c>
      <c r="AQ32" s="12">
        <v>-1</v>
      </c>
      <c r="AR32" s="13">
        <v>1</v>
      </c>
      <c r="AS32" s="11">
        <v>-2</v>
      </c>
      <c r="AT32" s="13">
        <v>1</v>
      </c>
      <c r="AU32" s="14">
        <v>2</v>
      </c>
      <c r="AV32" s="13">
        <v>1</v>
      </c>
      <c r="AW32" s="14">
        <v>2</v>
      </c>
      <c r="AX32" s="13">
        <v>1</v>
      </c>
      <c r="AY32" s="12">
        <v>-1</v>
      </c>
    </row>
    <row r="33" spans="1:51" x14ac:dyDescent="0.3">
      <c r="A33" t="s">
        <v>23</v>
      </c>
      <c r="B33">
        <v>-2</v>
      </c>
      <c r="C33">
        <v>-2</v>
      </c>
      <c r="D33">
        <v>-2</v>
      </c>
      <c r="E33">
        <v>-2</v>
      </c>
      <c r="F33">
        <v>-2</v>
      </c>
      <c r="G33">
        <v>-2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AB33" s="13">
        <v>1</v>
      </c>
      <c r="AC33" s="14">
        <v>2</v>
      </c>
      <c r="AD33" s="13">
        <v>1</v>
      </c>
      <c r="AE33" s="14">
        <v>2</v>
      </c>
      <c r="AF33" s="14">
        <v>2</v>
      </c>
      <c r="AG33" s="12">
        <v>-1</v>
      </c>
      <c r="AH33" s="11">
        <v>-2</v>
      </c>
      <c r="AI33" s="11">
        <v>-2</v>
      </c>
      <c r="AJ33" s="13">
        <v>1</v>
      </c>
      <c r="AK33" s="14">
        <v>2</v>
      </c>
      <c r="AL33" s="12">
        <v>-1</v>
      </c>
      <c r="AM33" s="12">
        <v>-1</v>
      </c>
      <c r="AN33" s="13">
        <v>1</v>
      </c>
      <c r="AO33" s="11">
        <v>-2</v>
      </c>
      <c r="AP33" s="11">
        <v>-2</v>
      </c>
      <c r="AQ33" s="13">
        <v>1</v>
      </c>
      <c r="AR33" s="14">
        <v>2</v>
      </c>
      <c r="AS33" s="13">
        <v>1</v>
      </c>
      <c r="AT33" s="12">
        <v>-1</v>
      </c>
      <c r="AU33" s="12">
        <v>-1</v>
      </c>
      <c r="AV33" s="12">
        <v>-1</v>
      </c>
      <c r="AW33" s="11">
        <v>-2</v>
      </c>
      <c r="AX33" s="11">
        <v>-2</v>
      </c>
      <c r="AY33" s="14">
        <v>2</v>
      </c>
    </row>
    <row r="34" spans="1:51" x14ac:dyDescent="0.3">
      <c r="A34" t="s">
        <v>24</v>
      </c>
      <c r="B34">
        <v>-1</v>
      </c>
      <c r="C34">
        <v>-1</v>
      </c>
      <c r="D34">
        <v>1</v>
      </c>
      <c r="E34">
        <v>1</v>
      </c>
      <c r="F34">
        <v>2</v>
      </c>
      <c r="G34">
        <v>2</v>
      </c>
      <c r="H34">
        <v>-2</v>
      </c>
      <c r="I34">
        <v>-2</v>
      </c>
      <c r="J34">
        <v>1</v>
      </c>
      <c r="K34">
        <v>1</v>
      </c>
      <c r="L34">
        <v>2</v>
      </c>
      <c r="M34">
        <v>2</v>
      </c>
      <c r="N34">
        <v>-2</v>
      </c>
      <c r="O34">
        <v>-2</v>
      </c>
      <c r="P34">
        <v>-1</v>
      </c>
      <c r="Q34">
        <v>-1</v>
      </c>
      <c r="R34">
        <v>2</v>
      </c>
      <c r="S34">
        <v>2</v>
      </c>
      <c r="T34">
        <v>-2</v>
      </c>
      <c r="U34">
        <v>-2</v>
      </c>
      <c r="V34">
        <v>-1</v>
      </c>
      <c r="W34">
        <v>-1</v>
      </c>
      <c r="X34">
        <v>1</v>
      </c>
      <c r="Y34">
        <v>1</v>
      </c>
      <c r="AB34" s="14">
        <v>2</v>
      </c>
      <c r="AC34" s="13">
        <v>1</v>
      </c>
      <c r="AD34" s="14">
        <v>2</v>
      </c>
      <c r="AE34" s="13">
        <v>1</v>
      </c>
      <c r="AF34" s="12">
        <v>-1</v>
      </c>
      <c r="AG34" s="11">
        <v>-2</v>
      </c>
      <c r="AH34" s="12">
        <v>-1</v>
      </c>
      <c r="AI34" s="13">
        <v>1</v>
      </c>
      <c r="AJ34" s="11">
        <v>-2</v>
      </c>
      <c r="AK34" s="12">
        <v>-1</v>
      </c>
      <c r="AL34" s="14">
        <v>2</v>
      </c>
      <c r="AM34" s="13">
        <v>1</v>
      </c>
      <c r="AN34" s="12">
        <v>-1</v>
      </c>
      <c r="AO34" s="13">
        <v>1</v>
      </c>
      <c r="AP34" s="14">
        <v>2</v>
      </c>
      <c r="AQ34" s="11">
        <v>-2</v>
      </c>
      <c r="AR34" s="11">
        <v>-2</v>
      </c>
      <c r="AS34" s="12">
        <v>-1</v>
      </c>
      <c r="AT34" s="14">
        <v>2</v>
      </c>
      <c r="AU34" s="13">
        <v>1</v>
      </c>
      <c r="AV34" s="11">
        <v>-2</v>
      </c>
      <c r="AW34" s="12">
        <v>-1</v>
      </c>
      <c r="AX34" s="14">
        <v>2</v>
      </c>
      <c r="AY34" s="11">
        <v>-2</v>
      </c>
    </row>
    <row r="35" spans="1:51" x14ac:dyDescent="0.3">
      <c r="A35" t="s">
        <v>25</v>
      </c>
      <c r="B35">
        <v>1</v>
      </c>
      <c r="C35">
        <v>2</v>
      </c>
      <c r="D35">
        <v>-1</v>
      </c>
      <c r="E35">
        <v>2</v>
      </c>
      <c r="F35">
        <v>-1</v>
      </c>
      <c r="G35">
        <v>1</v>
      </c>
      <c r="H35">
        <v>1</v>
      </c>
      <c r="I35">
        <v>2</v>
      </c>
      <c r="J35">
        <v>-2</v>
      </c>
      <c r="K35">
        <v>2</v>
      </c>
      <c r="L35">
        <v>-2</v>
      </c>
      <c r="M35">
        <v>1</v>
      </c>
      <c r="N35">
        <v>-1</v>
      </c>
      <c r="O35">
        <v>2</v>
      </c>
      <c r="P35">
        <v>-2</v>
      </c>
      <c r="Q35">
        <v>2</v>
      </c>
      <c r="R35">
        <v>-2</v>
      </c>
      <c r="S35">
        <v>-1</v>
      </c>
      <c r="T35">
        <v>-1</v>
      </c>
      <c r="U35">
        <v>1</v>
      </c>
      <c r="V35">
        <v>-2</v>
      </c>
      <c r="W35">
        <v>1</v>
      </c>
      <c r="X35">
        <v>-2</v>
      </c>
      <c r="Y35">
        <v>-1</v>
      </c>
    </row>
    <row r="36" spans="1:51" x14ac:dyDescent="0.3">
      <c r="A36" t="s">
        <v>26</v>
      </c>
      <c r="B36">
        <v>2</v>
      </c>
      <c r="C36">
        <v>1</v>
      </c>
      <c r="D36">
        <v>2</v>
      </c>
      <c r="E36">
        <v>-1</v>
      </c>
      <c r="F36">
        <v>1</v>
      </c>
      <c r="G36">
        <v>-1</v>
      </c>
      <c r="H36">
        <v>2</v>
      </c>
      <c r="I36">
        <v>1</v>
      </c>
      <c r="J36">
        <v>2</v>
      </c>
      <c r="K36">
        <v>-2</v>
      </c>
      <c r="L36">
        <v>1</v>
      </c>
      <c r="M36">
        <v>-2</v>
      </c>
      <c r="N36">
        <v>2</v>
      </c>
      <c r="O36">
        <v>-1</v>
      </c>
      <c r="P36">
        <v>2</v>
      </c>
      <c r="Q36">
        <v>-2</v>
      </c>
      <c r="R36">
        <v>-1</v>
      </c>
      <c r="S36">
        <v>-2</v>
      </c>
      <c r="T36">
        <v>1</v>
      </c>
      <c r="U36">
        <v>-1</v>
      </c>
      <c r="V36">
        <v>1</v>
      </c>
      <c r="W36">
        <v>-2</v>
      </c>
      <c r="X36">
        <v>-1</v>
      </c>
      <c r="Y36">
        <v>-2</v>
      </c>
    </row>
    <row r="37" spans="1:51" x14ac:dyDescent="0.3">
      <c r="AB37" t="s">
        <v>27</v>
      </c>
    </row>
    <row r="38" spans="1:51" x14ac:dyDescent="0.3">
      <c r="A38" t="s">
        <v>22</v>
      </c>
      <c r="B38" s="10">
        <v>19.2</v>
      </c>
      <c r="C38" s="10">
        <v>19.14</v>
      </c>
      <c r="D38" s="10">
        <v>19.04</v>
      </c>
      <c r="E38" s="10">
        <v>19.22</v>
      </c>
      <c r="F38" s="10">
        <v>19.190000000000001</v>
      </c>
      <c r="G38" s="10">
        <v>19.100000000000001</v>
      </c>
      <c r="H38" s="10">
        <v>19.21</v>
      </c>
      <c r="I38" s="10">
        <v>19.149999999999999</v>
      </c>
      <c r="J38" s="10">
        <v>19.16</v>
      </c>
      <c r="K38" s="10">
        <v>19.239999999999998</v>
      </c>
      <c r="L38" s="10">
        <v>19.02</v>
      </c>
      <c r="M38" s="10">
        <v>19.23</v>
      </c>
      <c r="N38" s="10">
        <v>19.059999999999999</v>
      </c>
      <c r="O38" s="10">
        <v>19.12</v>
      </c>
      <c r="P38" s="10">
        <v>19.13</v>
      </c>
      <c r="Q38" s="10">
        <v>19.09</v>
      </c>
      <c r="R38" s="10">
        <v>19.010000000000002</v>
      </c>
      <c r="S38" s="10">
        <v>19.05</v>
      </c>
      <c r="T38" s="10">
        <v>19.03</v>
      </c>
      <c r="U38" s="10">
        <v>19.11</v>
      </c>
      <c r="V38" s="10">
        <v>19.07</v>
      </c>
      <c r="W38" s="10">
        <v>19.079999999999998</v>
      </c>
      <c r="X38" s="10">
        <v>19.18</v>
      </c>
      <c r="Y38" s="10">
        <v>19.170000000000002</v>
      </c>
      <c r="AB38" s="10">
        <v>19.2</v>
      </c>
      <c r="AC38" s="10">
        <v>19.14</v>
      </c>
      <c r="AD38" s="10">
        <v>19.04</v>
      </c>
      <c r="AE38" s="10">
        <v>19.22</v>
      </c>
      <c r="AF38" s="10">
        <v>19.190000000000001</v>
      </c>
      <c r="AG38" s="10">
        <v>19.100000000000001</v>
      </c>
      <c r="AH38" s="10">
        <v>19.21</v>
      </c>
      <c r="AI38" s="10">
        <v>19.149999999999999</v>
      </c>
      <c r="AJ38" s="10">
        <v>19.16</v>
      </c>
      <c r="AK38" s="10">
        <v>19.239999999999998</v>
      </c>
      <c r="AL38" s="10">
        <v>19.02</v>
      </c>
      <c r="AM38" s="10">
        <v>19.23</v>
      </c>
      <c r="AN38" s="10">
        <v>19.059999999999999</v>
      </c>
      <c r="AO38" s="10">
        <v>19.12</v>
      </c>
      <c r="AP38" s="10">
        <v>19.13</v>
      </c>
      <c r="AQ38" s="10">
        <v>19.09</v>
      </c>
      <c r="AR38" s="10">
        <v>19.010000000000002</v>
      </c>
      <c r="AS38" s="10">
        <v>19.05</v>
      </c>
      <c r="AT38" s="10">
        <v>19.03</v>
      </c>
      <c r="AU38" s="10">
        <v>19.11</v>
      </c>
      <c r="AV38" s="10">
        <v>19.07</v>
      </c>
      <c r="AW38" s="10">
        <v>19.079999999999998</v>
      </c>
      <c r="AX38" s="10">
        <v>19.18</v>
      </c>
      <c r="AY38" s="10">
        <v>19.170000000000002</v>
      </c>
    </row>
    <row r="39" spans="1:51" x14ac:dyDescent="0.3">
      <c r="A39" t="s">
        <v>23</v>
      </c>
      <c r="B39">
        <v>2</v>
      </c>
      <c r="C39">
        <v>1</v>
      </c>
      <c r="D39">
        <v>-2</v>
      </c>
      <c r="E39">
        <v>2</v>
      </c>
      <c r="F39">
        <v>2</v>
      </c>
      <c r="G39">
        <v>-1</v>
      </c>
      <c r="H39">
        <v>2</v>
      </c>
      <c r="I39">
        <v>1</v>
      </c>
      <c r="J39">
        <v>1</v>
      </c>
      <c r="K39">
        <v>2</v>
      </c>
      <c r="L39">
        <v>-2</v>
      </c>
      <c r="M39">
        <v>2</v>
      </c>
      <c r="N39">
        <v>-2</v>
      </c>
      <c r="O39">
        <v>-1</v>
      </c>
      <c r="P39">
        <v>1</v>
      </c>
      <c r="Q39">
        <v>-1</v>
      </c>
      <c r="R39">
        <v>-2</v>
      </c>
      <c r="S39">
        <v>-2</v>
      </c>
      <c r="T39">
        <v>-2</v>
      </c>
      <c r="U39">
        <v>-1</v>
      </c>
      <c r="V39">
        <v>-1</v>
      </c>
      <c r="W39">
        <v>-1</v>
      </c>
      <c r="X39">
        <v>1</v>
      </c>
      <c r="Y39">
        <v>1</v>
      </c>
      <c r="AB39" s="6">
        <v>2</v>
      </c>
      <c r="AC39" s="6">
        <v>1</v>
      </c>
      <c r="AD39" s="6">
        <v>-2</v>
      </c>
      <c r="AE39" s="6">
        <v>2</v>
      </c>
      <c r="AF39" s="6">
        <v>2</v>
      </c>
      <c r="AG39" s="6">
        <v>-1</v>
      </c>
      <c r="AH39" s="6">
        <v>2</v>
      </c>
      <c r="AI39" s="6">
        <v>1</v>
      </c>
      <c r="AJ39" s="6">
        <v>1</v>
      </c>
      <c r="AK39" s="6">
        <v>2</v>
      </c>
      <c r="AL39" s="6">
        <v>-2</v>
      </c>
      <c r="AM39" s="6">
        <v>2</v>
      </c>
      <c r="AN39" s="6">
        <v>-2</v>
      </c>
      <c r="AO39" s="6">
        <v>-1</v>
      </c>
      <c r="AP39" s="6">
        <v>1</v>
      </c>
      <c r="AQ39" s="6">
        <v>-1</v>
      </c>
      <c r="AR39" s="6">
        <v>-2</v>
      </c>
      <c r="AS39" s="6">
        <v>-2</v>
      </c>
      <c r="AT39" s="6">
        <v>-2</v>
      </c>
      <c r="AU39" s="6">
        <v>-1</v>
      </c>
      <c r="AV39" s="6">
        <v>-1</v>
      </c>
      <c r="AW39" s="6">
        <v>-1</v>
      </c>
      <c r="AX39" s="6">
        <v>1</v>
      </c>
      <c r="AY39" s="6">
        <v>1</v>
      </c>
    </row>
    <row r="40" spans="1:51" x14ac:dyDescent="0.3">
      <c r="A40" t="s">
        <v>24</v>
      </c>
      <c r="B40">
        <v>-2</v>
      </c>
      <c r="C40">
        <v>-2</v>
      </c>
      <c r="D40">
        <v>1</v>
      </c>
      <c r="E40">
        <v>-1</v>
      </c>
      <c r="F40">
        <v>-2</v>
      </c>
      <c r="G40">
        <v>1</v>
      </c>
      <c r="H40">
        <v>-1</v>
      </c>
      <c r="I40">
        <v>-1</v>
      </c>
      <c r="J40">
        <v>-1</v>
      </c>
      <c r="K40">
        <v>1</v>
      </c>
      <c r="L40">
        <v>-1</v>
      </c>
      <c r="M40">
        <v>1</v>
      </c>
      <c r="N40">
        <v>2</v>
      </c>
      <c r="O40">
        <v>2</v>
      </c>
      <c r="P40">
        <v>-2</v>
      </c>
      <c r="Q40">
        <v>1</v>
      </c>
      <c r="R40">
        <v>-1</v>
      </c>
      <c r="S40">
        <v>2</v>
      </c>
      <c r="T40">
        <v>1</v>
      </c>
      <c r="U40">
        <v>2</v>
      </c>
      <c r="V40">
        <v>-2</v>
      </c>
      <c r="W40">
        <v>-2</v>
      </c>
      <c r="X40">
        <v>2</v>
      </c>
      <c r="Y40">
        <v>2</v>
      </c>
      <c r="AB40" s="6">
        <v>-2</v>
      </c>
      <c r="AC40" s="6">
        <v>-2</v>
      </c>
      <c r="AD40" s="6">
        <v>1</v>
      </c>
      <c r="AE40" s="6">
        <v>-1</v>
      </c>
      <c r="AF40" s="6">
        <v>-2</v>
      </c>
      <c r="AG40" s="6">
        <v>1</v>
      </c>
      <c r="AH40" s="6">
        <v>-1</v>
      </c>
      <c r="AI40" s="6">
        <v>-1</v>
      </c>
      <c r="AJ40" s="6">
        <v>-1</v>
      </c>
      <c r="AK40" s="6">
        <v>1</v>
      </c>
      <c r="AL40" s="6">
        <v>-1</v>
      </c>
      <c r="AM40" s="6">
        <v>1</v>
      </c>
      <c r="AN40" s="6">
        <v>2</v>
      </c>
      <c r="AO40" s="6">
        <v>2</v>
      </c>
      <c r="AP40" s="6">
        <v>-2</v>
      </c>
      <c r="AQ40" s="6">
        <v>1</v>
      </c>
      <c r="AR40" s="6">
        <v>-1</v>
      </c>
      <c r="AS40" s="6">
        <v>2</v>
      </c>
      <c r="AT40" s="6">
        <v>1</v>
      </c>
      <c r="AU40" s="6">
        <v>2</v>
      </c>
      <c r="AV40" s="6">
        <v>-2</v>
      </c>
      <c r="AW40" s="6">
        <v>-2</v>
      </c>
      <c r="AX40" s="6">
        <v>2</v>
      </c>
      <c r="AY40" s="6">
        <v>2</v>
      </c>
    </row>
    <row r="41" spans="1:51" x14ac:dyDescent="0.3">
      <c r="A41" t="s">
        <v>25</v>
      </c>
      <c r="B41">
        <v>1</v>
      </c>
      <c r="C41">
        <v>2</v>
      </c>
      <c r="D41">
        <v>2</v>
      </c>
      <c r="E41">
        <v>1</v>
      </c>
      <c r="F41">
        <v>-1</v>
      </c>
      <c r="G41">
        <v>2</v>
      </c>
      <c r="H41">
        <v>-2</v>
      </c>
      <c r="I41">
        <v>-2</v>
      </c>
      <c r="J41">
        <v>2</v>
      </c>
      <c r="K41">
        <v>-1</v>
      </c>
      <c r="L41">
        <v>2</v>
      </c>
      <c r="M41">
        <v>-2</v>
      </c>
      <c r="N41">
        <v>1</v>
      </c>
      <c r="O41">
        <v>1</v>
      </c>
      <c r="P41">
        <v>-1</v>
      </c>
      <c r="Q41">
        <v>-2</v>
      </c>
      <c r="R41">
        <v>1</v>
      </c>
      <c r="S41">
        <v>-1</v>
      </c>
      <c r="T41">
        <v>-1</v>
      </c>
      <c r="U41">
        <v>-2</v>
      </c>
      <c r="V41">
        <v>1</v>
      </c>
      <c r="W41">
        <v>2</v>
      </c>
      <c r="X41">
        <v>-1</v>
      </c>
      <c r="Y41">
        <v>-2</v>
      </c>
      <c r="AB41" s="6">
        <v>1</v>
      </c>
      <c r="AC41" s="6">
        <v>2</v>
      </c>
      <c r="AD41" s="6">
        <v>2</v>
      </c>
      <c r="AE41" s="6">
        <v>1</v>
      </c>
      <c r="AF41" s="6">
        <v>-1</v>
      </c>
      <c r="AG41" s="6">
        <v>2</v>
      </c>
      <c r="AH41" s="6">
        <v>-2</v>
      </c>
      <c r="AI41" s="6">
        <v>-2</v>
      </c>
      <c r="AJ41" s="6">
        <v>2</v>
      </c>
      <c r="AK41" s="6">
        <v>-1</v>
      </c>
      <c r="AL41" s="6">
        <v>2</v>
      </c>
      <c r="AM41" s="6">
        <v>-2</v>
      </c>
      <c r="AN41" s="6">
        <v>1</v>
      </c>
      <c r="AO41" s="6">
        <v>1</v>
      </c>
      <c r="AP41" s="6">
        <v>-1</v>
      </c>
      <c r="AQ41" s="6">
        <v>-2</v>
      </c>
      <c r="AR41" s="6">
        <v>1</v>
      </c>
      <c r="AS41" s="6">
        <v>-1</v>
      </c>
      <c r="AT41" s="6">
        <v>-1</v>
      </c>
      <c r="AU41" s="6">
        <v>-2</v>
      </c>
      <c r="AV41" s="6">
        <v>1</v>
      </c>
      <c r="AW41" s="6">
        <v>2</v>
      </c>
      <c r="AX41" s="6">
        <v>-1</v>
      </c>
      <c r="AY41" s="6">
        <v>-2</v>
      </c>
    </row>
    <row r="42" spans="1:51" x14ac:dyDescent="0.3">
      <c r="A42" t="s">
        <v>26</v>
      </c>
      <c r="B42">
        <v>-1</v>
      </c>
      <c r="C42">
        <v>-1</v>
      </c>
      <c r="D42">
        <v>-1</v>
      </c>
      <c r="E42">
        <v>-2</v>
      </c>
      <c r="F42">
        <v>1</v>
      </c>
      <c r="G42">
        <v>-2</v>
      </c>
      <c r="H42">
        <v>1</v>
      </c>
      <c r="I42">
        <v>2</v>
      </c>
      <c r="J42">
        <v>-2</v>
      </c>
      <c r="K42">
        <v>-2</v>
      </c>
      <c r="L42">
        <v>1</v>
      </c>
      <c r="M42">
        <v>-1</v>
      </c>
      <c r="N42">
        <v>-1</v>
      </c>
      <c r="O42">
        <v>-2</v>
      </c>
      <c r="P42">
        <v>2</v>
      </c>
      <c r="Q42">
        <v>2</v>
      </c>
      <c r="R42">
        <v>2</v>
      </c>
      <c r="S42">
        <v>1</v>
      </c>
      <c r="T42">
        <v>2</v>
      </c>
      <c r="U42">
        <v>1</v>
      </c>
      <c r="V42">
        <v>2</v>
      </c>
      <c r="W42">
        <v>1</v>
      </c>
      <c r="X42">
        <v>-2</v>
      </c>
      <c r="Y42">
        <v>-1</v>
      </c>
      <c r="AB42" s="6">
        <v>-1</v>
      </c>
      <c r="AC42" s="6">
        <v>-1</v>
      </c>
      <c r="AD42" s="6">
        <v>-1</v>
      </c>
      <c r="AE42" s="6">
        <v>-2</v>
      </c>
      <c r="AF42" s="6">
        <v>1</v>
      </c>
      <c r="AG42" s="6">
        <v>-2</v>
      </c>
      <c r="AH42" s="6">
        <v>1</v>
      </c>
      <c r="AI42" s="6">
        <v>2</v>
      </c>
      <c r="AJ42" s="6">
        <v>-2</v>
      </c>
      <c r="AK42" s="6">
        <v>-2</v>
      </c>
      <c r="AL42" s="6">
        <v>1</v>
      </c>
      <c r="AM42" s="6">
        <v>-1</v>
      </c>
      <c r="AN42" s="6">
        <v>-1</v>
      </c>
      <c r="AO42" s="6">
        <v>-2</v>
      </c>
      <c r="AP42" s="6">
        <v>2</v>
      </c>
      <c r="AQ42" s="6">
        <v>2</v>
      </c>
      <c r="AR42" s="6">
        <v>2</v>
      </c>
      <c r="AS42" s="6">
        <v>1</v>
      </c>
      <c r="AT42" s="6">
        <v>2</v>
      </c>
      <c r="AU42" s="6">
        <v>1</v>
      </c>
      <c r="AV42" s="6">
        <v>2</v>
      </c>
      <c r="AW42" s="6">
        <v>1</v>
      </c>
      <c r="AX42" s="6">
        <v>-2</v>
      </c>
      <c r="AY42" s="6">
        <v>-1</v>
      </c>
    </row>
    <row r="44" spans="1:51" x14ac:dyDescent="0.3">
      <c r="A44" s="6"/>
    </row>
    <row r="45" spans="1:51" x14ac:dyDescent="0.3">
      <c r="A45" s="6"/>
    </row>
    <row r="46" spans="1:51" x14ac:dyDescent="0.3">
      <c r="A46" s="6"/>
    </row>
    <row r="47" spans="1:51" x14ac:dyDescent="0.3">
      <c r="A47" s="6"/>
    </row>
  </sheetData>
  <sortState xmlns:xlrd2="http://schemas.microsoft.com/office/spreadsheetml/2017/richdata2" columnSort="1" ref="A38:Y42">
    <sortCondition ref="A38:Y38" customList="Perm,19.20,19.14,19.04,19.22,19.19,19.10,19.21,19.15,19.16,19.24,19.02,19.23,19.06,19.12,19.13,19.09,19.01,19.05,19.03,19.11,19.07,19.08,19.18,19.17"/>
  </sortState>
  <conditionalFormatting sqref="AB17:AY20">
    <cfRule type="cellIs" dxfId="18" priority="10" operator="equal">
      <formula>2</formula>
    </cfRule>
    <cfRule type="cellIs" dxfId="17" priority="11" operator="equal">
      <formula>1</formula>
    </cfRule>
    <cfRule type="cellIs" dxfId="16" priority="12" operator="equal">
      <formula>-1</formula>
    </cfRule>
    <cfRule type="cellIs" dxfId="15" priority="13" operator="equal">
      <formula>-2</formula>
    </cfRule>
    <cfRule type="cellIs" priority="14" operator="equal">
      <formula>-2</formula>
    </cfRule>
  </conditionalFormatting>
  <conditionalFormatting sqref="AB38:AY42">
    <cfRule type="cellIs" dxfId="4" priority="4" operator="equal">
      <formula>1</formula>
    </cfRule>
    <cfRule type="cellIs" dxfId="5" priority="3" operator="equal">
      <formula>-1</formula>
    </cfRule>
    <cfRule type="cellIs" dxfId="6" priority="2" operator="equal">
      <formula>2</formula>
    </cfRule>
    <cfRule type="cellIs" dxfId="3" priority="1" operator="equal">
      <formula>-2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0532-CC37-4F0C-BD99-C3B03BCE8EED}">
  <dimension ref="A1:X33"/>
  <sheetViews>
    <sheetView zoomScale="78" workbookViewId="0">
      <selection activeCell="G13" sqref="G13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-2</v>
      </c>
      <c r="C3" s="1">
        <v>0</v>
      </c>
      <c r="D3" s="1">
        <v>0</v>
      </c>
      <c r="F3" t="s">
        <v>2</v>
      </c>
      <c r="G3">
        <v>-1.9999881176292373</v>
      </c>
      <c r="H3">
        <v>0</v>
      </c>
      <c r="I3">
        <v>0</v>
      </c>
      <c r="K3" t="s">
        <v>2</v>
      </c>
      <c r="L3">
        <v>-1.8222713654252563</v>
      </c>
      <c r="M3">
        <v>0</v>
      </c>
      <c r="N3">
        <v>0</v>
      </c>
      <c r="P3" t="s">
        <v>2</v>
      </c>
      <c r="Q3">
        <v>-1.9996160936488285</v>
      </c>
      <c r="R3">
        <v>0</v>
      </c>
      <c r="S3">
        <v>0</v>
      </c>
      <c r="U3" t="s">
        <v>2</v>
      </c>
      <c r="V3">
        <v>-1.9999995608721923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-0.99994047466757929</v>
      </c>
      <c r="I4">
        <v>0</v>
      </c>
      <c r="K4" t="s">
        <v>3</v>
      </c>
      <c r="L4">
        <v>0</v>
      </c>
      <c r="M4">
        <v>-0.87442255441628292</v>
      </c>
      <c r="N4">
        <v>0</v>
      </c>
      <c r="P4" t="s">
        <v>3</v>
      </c>
      <c r="Q4">
        <v>0</v>
      </c>
      <c r="R4">
        <v>-0.99984042972377274</v>
      </c>
      <c r="S4">
        <v>0</v>
      </c>
      <c r="U4" t="s">
        <v>3</v>
      </c>
      <c r="V4">
        <v>0</v>
      </c>
      <c r="W4">
        <v>-0.9999998751107485</v>
      </c>
      <c r="X4">
        <v>0</v>
      </c>
    </row>
    <row r="5" spans="1:24" x14ac:dyDescent="0.3">
      <c r="A5" s="1" t="s">
        <v>4</v>
      </c>
      <c r="B5" s="1">
        <v>2</v>
      </c>
      <c r="C5" s="1">
        <v>1</v>
      </c>
      <c r="D5" s="1">
        <v>0</v>
      </c>
      <c r="F5" t="s">
        <v>4</v>
      </c>
      <c r="G5">
        <v>1.9998737010365679</v>
      </c>
      <c r="H5">
        <v>0.99987923679830637</v>
      </c>
      <c r="I5">
        <v>0</v>
      </c>
      <c r="K5" t="s">
        <v>4</v>
      </c>
      <c r="L5">
        <v>0.65027115621506193</v>
      </c>
      <c r="M5">
        <v>0.72078580487518162</v>
      </c>
      <c r="N5">
        <v>0</v>
      </c>
      <c r="P5" t="s">
        <v>4</v>
      </c>
      <c r="Q5">
        <v>1.9996339441628328</v>
      </c>
      <c r="R5">
        <v>0.99992592577153117</v>
      </c>
      <c r="S5">
        <v>0</v>
      </c>
      <c r="U5" t="s">
        <v>4</v>
      </c>
      <c r="V5">
        <v>1.999998983947179</v>
      </c>
      <c r="W5">
        <v>0.99999907948393962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1.4119073494135069E-10</v>
      </c>
      <c r="H8">
        <f t="shared" ref="H8:I10" si="0">(H3-C3)^2</f>
        <v>0</v>
      </c>
      <c r="I8">
        <f t="shared" si="0"/>
        <v>0</v>
      </c>
      <c r="L8">
        <f>(L3-B3)^2</f>
        <v>3.1587467547802797E-2</v>
      </c>
      <c r="M8">
        <f t="shared" ref="M8:N10" si="1">(M3-C3)^2</f>
        <v>0</v>
      </c>
      <c r="N8">
        <f t="shared" si="1"/>
        <v>0</v>
      </c>
      <c r="Q8">
        <f>(Q3-B3)^2</f>
        <v>1.473840864697922E-7</v>
      </c>
      <c r="R8">
        <f t="shared" ref="R8:S10" si="2">(R3-C3)^2</f>
        <v>0</v>
      </c>
      <c r="S8">
        <f t="shared" si="2"/>
        <v>0</v>
      </c>
      <c r="V8">
        <f>(V3-B3)^2</f>
        <v>1.9283323147088683E-13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3.5432651997956467E-9</v>
      </c>
      <c r="I9">
        <f t="shared" si="0"/>
        <v>0</v>
      </c>
      <c r="L9">
        <f t="shared" ref="L9:L10" si="5">(L4-B4)^2</f>
        <v>0</v>
      </c>
      <c r="M9">
        <f t="shared" si="1"/>
        <v>1.5769694839331425E-2</v>
      </c>
      <c r="N9">
        <f t="shared" si="1"/>
        <v>0</v>
      </c>
      <c r="Q9">
        <f t="shared" ref="Q9:Q10" si="6">(Q4-B4)^2</f>
        <v>0</v>
      </c>
      <c r="R9">
        <f t="shared" si="2"/>
        <v>2.5462673055244395E-8</v>
      </c>
      <c r="S9">
        <f t="shared" si="2"/>
        <v>0</v>
      </c>
      <c r="V9">
        <f t="shared" ref="V9:V10" si="7">(V4-B4)^2</f>
        <v>0</v>
      </c>
      <c r="W9">
        <f t="shared" si="3"/>
        <v>1.5597325139233038E-14</v>
      </c>
      <c r="X9">
        <f t="shared" si="3"/>
        <v>0</v>
      </c>
    </row>
    <row r="10" spans="1:24" x14ac:dyDescent="0.3">
      <c r="G10">
        <f t="shared" si="4"/>
        <v>1.5951428164018139E-8</v>
      </c>
      <c r="H10">
        <f t="shared" si="0"/>
        <v>1.4583750883296353E-8</v>
      </c>
      <c r="I10">
        <f t="shared" si="0"/>
        <v>0</v>
      </c>
      <c r="L10">
        <f t="shared" si="5"/>
        <v>1.821767951745026</v>
      </c>
      <c r="M10">
        <f t="shared" si="1"/>
        <v>7.7960566759200156E-2</v>
      </c>
      <c r="N10">
        <f t="shared" si="1"/>
        <v>0</v>
      </c>
      <c r="Q10">
        <f t="shared" si="6"/>
        <v>1.3399687592418015E-7</v>
      </c>
      <c r="R10">
        <f t="shared" si="2"/>
        <v>5.4869913232530904E-9</v>
      </c>
      <c r="S10">
        <f t="shared" si="2"/>
        <v>0</v>
      </c>
      <c r="V10">
        <f t="shared" si="7"/>
        <v>1.0323633350420505E-12</v>
      </c>
      <c r="W10">
        <f t="shared" si="3"/>
        <v>8.4734981741100584E-13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3.4219634982051488E-8</v>
      </c>
      <c r="L13">
        <f>SUM(L8:N10)</f>
        <v>1.9470856808913606</v>
      </c>
      <c r="Q13">
        <f>SUM(Q8:S10)</f>
        <v>3.1233062677246984E-7</v>
      </c>
      <c r="V13">
        <f>SUM(V8:X10)</f>
        <v>2.0881437090631762E-12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-0.91503904625487287</v>
      </c>
      <c r="B21">
        <v>-0.93939713925239277</v>
      </c>
      <c r="C21">
        <v>-0.93987149658226965</v>
      </c>
    </row>
    <row r="22" spans="1:14" x14ac:dyDescent="0.3">
      <c r="A22">
        <v>-0.54229869466820646</v>
      </c>
      <c r="B22">
        <v>-0.56653257722163564</v>
      </c>
      <c r="C22">
        <v>-0.56746432528354329</v>
      </c>
    </row>
    <row r="23" spans="1:14" x14ac:dyDescent="0.3">
      <c r="A23">
        <v>0.73163825152021689</v>
      </c>
      <c r="B23">
        <v>0.75948181128981407</v>
      </c>
      <c r="C23">
        <v>0.76166261715353101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-0.91503904625487298</v>
      </c>
      <c r="C27">
        <v>-0.91503904625487298</v>
      </c>
      <c r="D27">
        <v>-0.91503904625487298</v>
      </c>
      <c r="E27">
        <v>-0.91503904625487298</v>
      </c>
      <c r="F27">
        <v>-0.93939713925239299</v>
      </c>
      <c r="G27">
        <v>-0.93939713925239299</v>
      </c>
      <c r="H27">
        <v>-0.93939713925239299</v>
      </c>
      <c r="I27">
        <v>-0.93939713925239299</v>
      </c>
      <c r="J27">
        <v>-0.93939713925239299</v>
      </c>
      <c r="K27">
        <v>-0.93987149658226998</v>
      </c>
      <c r="L27">
        <v>-0.93987149658226998</v>
      </c>
      <c r="M27">
        <v>-0.93987149658226998</v>
      </c>
      <c r="N27">
        <v>-0.93987149658226998</v>
      </c>
    </row>
    <row r="28" spans="1:14" x14ac:dyDescent="0.3">
      <c r="A28" t="s">
        <v>3</v>
      </c>
      <c r="B28">
        <v>-0.54229869466820602</v>
      </c>
      <c r="C28">
        <v>-0.54229869466820602</v>
      </c>
      <c r="D28">
        <v>-0.54229869466820602</v>
      </c>
      <c r="E28">
        <v>-0.54229869466820602</v>
      </c>
      <c r="F28">
        <v>-0.56653257722163597</v>
      </c>
      <c r="G28">
        <v>-0.56653257722163597</v>
      </c>
      <c r="H28">
        <v>-0.56653257722163597</v>
      </c>
      <c r="I28">
        <v>-0.56653257722163597</v>
      </c>
      <c r="J28">
        <v>-0.56653257722163597</v>
      </c>
      <c r="K28">
        <v>-0.56746432528354296</v>
      </c>
      <c r="L28">
        <v>-0.56746432528354296</v>
      </c>
      <c r="M28">
        <v>-0.56746432528354296</v>
      </c>
      <c r="N28">
        <v>-0.56746432528354296</v>
      </c>
    </row>
    <row r="29" spans="1:14" x14ac:dyDescent="0.3">
      <c r="A29" t="s">
        <v>4</v>
      </c>
      <c r="B29">
        <v>0.731638251520217</v>
      </c>
      <c r="C29">
        <v>0.731638251520217</v>
      </c>
      <c r="D29">
        <v>0.731638251520217</v>
      </c>
      <c r="E29">
        <v>0.731638251520217</v>
      </c>
      <c r="F29">
        <v>0.75948181128981396</v>
      </c>
      <c r="G29">
        <v>0.75948181128981396</v>
      </c>
      <c r="H29">
        <v>0.75948181128981396</v>
      </c>
      <c r="I29">
        <v>0.75948181128981396</v>
      </c>
      <c r="J29">
        <v>0.75948181128981396</v>
      </c>
      <c r="K29">
        <v>0.76166261715353101</v>
      </c>
      <c r="L29">
        <v>0.76166261715353101</v>
      </c>
      <c r="M29">
        <v>0.76166261715353101</v>
      </c>
      <c r="N29">
        <v>0.76166261715353101</v>
      </c>
    </row>
    <row r="31" spans="1:14" x14ac:dyDescent="0.3">
      <c r="B31" s="3">
        <f>(B27-A21)</f>
        <v>-1.1102230246251565E-16</v>
      </c>
      <c r="C31" s="3">
        <f>(C27-A21)</f>
        <v>-1.1102230246251565E-16</v>
      </c>
      <c r="D31" s="3">
        <f>(D27-A21)</f>
        <v>-1.1102230246251565E-16</v>
      </c>
      <c r="E31" s="3">
        <f>(E27-A21)</f>
        <v>-1.1102230246251565E-16</v>
      </c>
      <c r="F31" s="3">
        <f>F27-B21</f>
        <v>0</v>
      </c>
      <c r="G31" s="3">
        <f>G27-B21</f>
        <v>0</v>
      </c>
      <c r="H31" s="3">
        <f>H27-B21</f>
        <v>0</v>
      </c>
      <c r="I31" s="3">
        <f>I27-B21</f>
        <v>0</v>
      </c>
      <c r="J31" s="3">
        <f>J27-B21</f>
        <v>0</v>
      </c>
      <c r="K31" s="3">
        <f>K27-C21</f>
        <v>0</v>
      </c>
      <c r="L31" s="3">
        <f>L27-C21</f>
        <v>0</v>
      </c>
      <c r="M31" s="3">
        <f>M27-C21</f>
        <v>0</v>
      </c>
      <c r="N31" s="3">
        <f>N27-C21</f>
        <v>0</v>
      </c>
    </row>
    <row r="32" spans="1:14" x14ac:dyDescent="0.3">
      <c r="B32" s="3">
        <f t="shared" ref="B32:B33" si="8">(B28-A22)</f>
        <v>4.4408920985006262E-16</v>
      </c>
      <c r="C32" s="3">
        <f t="shared" ref="C32:C33" si="9">(C28-A22)</f>
        <v>4.4408920985006262E-16</v>
      </c>
      <c r="D32" s="3">
        <f t="shared" ref="D32:D33" si="10">(D28-A22)</f>
        <v>4.4408920985006262E-16</v>
      </c>
      <c r="E32" s="3">
        <f t="shared" ref="E32:E33" si="11">(E28-A22)</f>
        <v>4.4408920985006262E-16</v>
      </c>
      <c r="F32" s="3">
        <f t="shared" ref="F32:F33" si="12">F28-B22</f>
        <v>0</v>
      </c>
      <c r="G32" s="3">
        <f t="shared" ref="G32:G33" si="13">G28-B22</f>
        <v>0</v>
      </c>
      <c r="H32" s="3">
        <f t="shared" ref="H32:H33" si="14">H28-B22</f>
        <v>0</v>
      </c>
      <c r="I32" s="3">
        <f t="shared" ref="I32:I33" si="15">I28-B22</f>
        <v>0</v>
      </c>
      <c r="J32" s="3">
        <f t="shared" ref="J32:K32" si="16">J28-B22</f>
        <v>0</v>
      </c>
      <c r="K32" s="3">
        <f t="shared" si="16"/>
        <v>0</v>
      </c>
      <c r="L32" s="3">
        <f t="shared" ref="L32:L33" si="17">L28-C22</f>
        <v>0</v>
      </c>
      <c r="M32" s="3">
        <f t="shared" ref="M32:M33" si="18">M28-C22</f>
        <v>0</v>
      </c>
      <c r="N32" s="3">
        <f t="shared" ref="N32:N33" si="19">N28-C22</f>
        <v>0</v>
      </c>
    </row>
    <row r="33" spans="2:14" x14ac:dyDescent="0.3">
      <c r="B33" s="3">
        <f t="shared" si="8"/>
        <v>1.1102230246251565E-16</v>
      </c>
      <c r="C33" s="3">
        <f t="shared" si="9"/>
        <v>1.1102230246251565E-16</v>
      </c>
      <c r="D33" s="3">
        <f t="shared" si="10"/>
        <v>1.1102230246251565E-16</v>
      </c>
      <c r="E33" s="3">
        <f t="shared" si="11"/>
        <v>1.1102230246251565E-16</v>
      </c>
      <c r="F33" s="3">
        <f t="shared" si="12"/>
        <v>0</v>
      </c>
      <c r="G33" s="3">
        <f t="shared" si="13"/>
        <v>0</v>
      </c>
      <c r="H33" s="3">
        <f t="shared" si="14"/>
        <v>0</v>
      </c>
      <c r="I33" s="3">
        <f t="shared" si="15"/>
        <v>0</v>
      </c>
      <c r="J33" s="3">
        <f t="shared" ref="J33:K33" si="20">J29-B23</f>
        <v>0</v>
      </c>
      <c r="K33" s="3">
        <f t="shared" si="20"/>
        <v>0</v>
      </c>
      <c r="L33" s="3">
        <f t="shared" si="17"/>
        <v>0</v>
      </c>
      <c r="M33" s="3">
        <f t="shared" si="18"/>
        <v>0</v>
      </c>
      <c r="N33" s="3">
        <f t="shared" si="1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68994-6E68-429B-AC3D-878610E95A2E}">
  <dimension ref="A1:X33"/>
  <sheetViews>
    <sheetView zoomScale="54" zoomScaleNormal="54" workbookViewId="0">
      <selection activeCell="D24" sqref="D24"/>
    </sheetView>
  </sheetViews>
  <sheetFormatPr defaultRowHeight="15.6" x14ac:dyDescent="0.3"/>
  <cols>
    <col min="1" max="1" width="11.09765625" bestFit="1" customWidth="1"/>
    <col min="2" max="5" width="16.09765625" bestFit="1" customWidth="1"/>
    <col min="6" max="6" width="12.796875" bestFit="1" customWidth="1"/>
    <col min="7" max="8" width="13.09765625" bestFit="1" customWidth="1"/>
    <col min="9" max="14" width="12.796875" bestFit="1" customWidth="1"/>
    <col min="17" max="18" width="13.09765625" bestFit="1" customWidth="1"/>
    <col min="19" max="19" width="9" bestFit="1" customWidth="1"/>
    <col min="22" max="23" width="13.09765625" bestFit="1" customWidth="1"/>
    <col min="24" max="24" width="8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2" t="s">
        <v>0</v>
      </c>
      <c r="B2" s="2" t="s">
        <v>2</v>
      </c>
      <c r="C2" s="2" t="s">
        <v>3</v>
      </c>
      <c r="D2" s="2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2" t="s">
        <v>2</v>
      </c>
      <c r="B3" s="2">
        <v>-2</v>
      </c>
      <c r="C3" s="2">
        <v>0</v>
      </c>
      <c r="D3" s="2">
        <v>0</v>
      </c>
      <c r="F3" t="s">
        <v>2</v>
      </c>
      <c r="G3">
        <v>-1.9998186402901976</v>
      </c>
      <c r="H3">
        <v>0</v>
      </c>
      <c r="I3">
        <v>0</v>
      </c>
      <c r="K3" t="s">
        <v>2</v>
      </c>
      <c r="L3">
        <v>-1.6154323287642907</v>
      </c>
      <c r="M3">
        <v>0</v>
      </c>
      <c r="N3">
        <v>0</v>
      </c>
      <c r="P3" t="s">
        <v>2</v>
      </c>
      <c r="Q3">
        <v>-1.9997248685606999</v>
      </c>
      <c r="R3">
        <v>0</v>
      </c>
      <c r="S3">
        <v>0</v>
      </c>
      <c r="U3" t="s">
        <v>2</v>
      </c>
      <c r="V3">
        <v>-1.9999996918784952</v>
      </c>
      <c r="W3">
        <v>0</v>
      </c>
      <c r="X3">
        <v>0</v>
      </c>
    </row>
    <row r="4" spans="1:24" x14ac:dyDescent="0.3">
      <c r="A4" s="2" t="s">
        <v>3</v>
      </c>
      <c r="B4" s="2">
        <v>0</v>
      </c>
      <c r="C4" s="2">
        <v>2</v>
      </c>
      <c r="D4" s="2">
        <v>0</v>
      </c>
      <c r="F4" t="s">
        <v>3</v>
      </c>
      <c r="G4">
        <v>0</v>
      </c>
      <c r="H4">
        <v>1.9999008105282907</v>
      </c>
      <c r="I4">
        <v>0</v>
      </c>
      <c r="K4" t="s">
        <v>3</v>
      </c>
      <c r="L4">
        <v>0</v>
      </c>
      <c r="M4">
        <v>1.8228597143124632</v>
      </c>
      <c r="N4">
        <v>0</v>
      </c>
      <c r="P4" t="s">
        <v>3</v>
      </c>
      <c r="Q4">
        <v>0</v>
      </c>
      <c r="R4">
        <v>1.9999119807506036</v>
      </c>
      <c r="S4">
        <v>0</v>
      </c>
      <c r="U4" t="s">
        <v>3</v>
      </c>
      <c r="V4">
        <v>0</v>
      </c>
      <c r="W4">
        <v>1.9999924505107169</v>
      </c>
      <c r="X4">
        <v>0</v>
      </c>
    </row>
    <row r="5" spans="1:24" x14ac:dyDescent="0.3">
      <c r="A5" s="2" t="s">
        <v>4</v>
      </c>
      <c r="B5" s="2">
        <v>-1</v>
      </c>
      <c r="C5" s="2">
        <v>1</v>
      </c>
      <c r="D5" s="2">
        <v>0</v>
      </c>
      <c r="F5" t="s">
        <v>4</v>
      </c>
      <c r="G5">
        <v>-0.91675055355260815</v>
      </c>
      <c r="H5">
        <v>0.5075964496508677</v>
      </c>
      <c r="I5">
        <v>0</v>
      </c>
      <c r="K5" t="s">
        <v>4</v>
      </c>
      <c r="L5">
        <v>-0.65193960566046616</v>
      </c>
      <c r="M5">
        <v>0.27426040355139314</v>
      </c>
      <c r="N5">
        <v>0</v>
      </c>
      <c r="P5" t="s">
        <v>4</v>
      </c>
      <c r="Q5">
        <v>-0.99991495306225053</v>
      </c>
      <c r="R5">
        <v>1.0000076339863135</v>
      </c>
      <c r="S5">
        <v>0</v>
      </c>
      <c r="U5" t="s">
        <v>4</v>
      </c>
      <c r="V5">
        <v>-0.99998654093719452</v>
      </c>
      <c r="W5">
        <v>0.99999631602649386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3.2891344339601889E-8</v>
      </c>
      <c r="H8">
        <f t="shared" ref="H8:I10" si="0">(H3-C3)^2</f>
        <v>0</v>
      </c>
      <c r="I8">
        <f t="shared" si="0"/>
        <v>0</v>
      </c>
      <c r="L8">
        <f>(L3-B3)^2</f>
        <v>0.14789229375965662</v>
      </c>
      <c r="M8">
        <f t="shared" ref="M8:N10" si="1">(M3-C3)^2</f>
        <v>0</v>
      </c>
      <c r="N8">
        <f t="shared" si="1"/>
        <v>0</v>
      </c>
      <c r="Q8">
        <f>(Q3-B3)^2</f>
        <v>7.5697308891364334E-8</v>
      </c>
      <c r="R8">
        <f t="shared" ref="R8:S10" si="2">(R3-C3)^2</f>
        <v>0</v>
      </c>
      <c r="S8">
        <f t="shared" si="2"/>
        <v>0</v>
      </c>
      <c r="V8">
        <f>(V3-B3)^2</f>
        <v>9.493886169256013E-14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9.8385512979665077E-9</v>
      </c>
      <c r="I9">
        <f t="shared" si="0"/>
        <v>0</v>
      </c>
      <c r="L9">
        <f t="shared" ref="L9:L10" si="5">(L4-B4)^2</f>
        <v>0</v>
      </c>
      <c r="M9">
        <f t="shared" si="1"/>
        <v>3.1378680813462158E-2</v>
      </c>
      <c r="N9">
        <f t="shared" si="1"/>
        <v>0</v>
      </c>
      <c r="Q9">
        <f t="shared" ref="Q9:Q10" si="6">(Q4-B4)^2</f>
        <v>0</v>
      </c>
      <c r="R9">
        <f t="shared" si="2"/>
        <v>7.7473882643034023E-9</v>
      </c>
      <c r="S9">
        <f t="shared" si="2"/>
        <v>0</v>
      </c>
      <c r="V9">
        <f t="shared" ref="V9:V10" si="7">(V4-B4)^2</f>
        <v>0</v>
      </c>
      <c r="W9">
        <f t="shared" si="3"/>
        <v>5.6994788434948717E-11</v>
      </c>
      <c r="X9">
        <f t="shared" si="3"/>
        <v>0</v>
      </c>
    </row>
    <row r="10" spans="1:24" x14ac:dyDescent="0.3">
      <c r="G10">
        <f t="shared" si="4"/>
        <v>6.9304703337971637E-3</v>
      </c>
      <c r="H10">
        <f t="shared" si="0"/>
        <v>0.24246125639643046</v>
      </c>
      <c r="I10">
        <f t="shared" si="0"/>
        <v>0</v>
      </c>
      <c r="L10">
        <f t="shared" si="5"/>
        <v>0.1211460381077918</v>
      </c>
      <c r="M10">
        <f t="shared" si="1"/>
        <v>0.52669796185338669</v>
      </c>
      <c r="N10">
        <f t="shared" si="1"/>
        <v>0</v>
      </c>
      <c r="Q10">
        <f t="shared" si="6"/>
        <v>7.2329816205616637E-9</v>
      </c>
      <c r="R10">
        <f t="shared" si="2"/>
        <v>5.8277747035281427E-11</v>
      </c>
      <c r="S10">
        <f t="shared" si="2"/>
        <v>0</v>
      </c>
      <c r="V10">
        <f t="shared" si="7"/>
        <v>1.8114637160176055E-10</v>
      </c>
      <c r="W10">
        <f t="shared" si="3"/>
        <v>1.3571660793949816E-11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0.24939176946012326</v>
      </c>
      <c r="L13">
        <f>SUM(L8:N10)</f>
        <v>0.82711497453429728</v>
      </c>
      <c r="Q13">
        <f>SUM(Q8:S10)</f>
        <v>9.0735956523264673E-8</v>
      </c>
      <c r="V13">
        <f>SUM(V8:X10)</f>
        <v>2.5180775969235166E-10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-0.91500206884387525</v>
      </c>
      <c r="B21">
        <v>-0.93939739276708978</v>
      </c>
      <c r="C21">
        <v>-0.93987149979855333</v>
      </c>
    </row>
    <row r="22" spans="1:14" x14ac:dyDescent="0.3">
      <c r="A22">
        <v>0.87472995139940024</v>
      </c>
      <c r="B22">
        <v>0.9602522730089299</v>
      </c>
      <c r="C22">
        <v>0.97145733819550006</v>
      </c>
    </row>
    <row r="23" spans="1:14" x14ac:dyDescent="0.3">
      <c r="A23">
        <v>0.52698988336066888</v>
      </c>
      <c r="B23">
        <v>0.66774923775517214</v>
      </c>
      <c r="C23">
        <v>0.69258795466253731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-0.91500206884387503</v>
      </c>
      <c r="C27">
        <v>-0.91500206884387503</v>
      </c>
      <c r="D27">
        <v>-0.91500206884387503</v>
      </c>
      <c r="E27">
        <v>-0.91500206884387503</v>
      </c>
      <c r="F27">
        <v>-0.93939739276709</v>
      </c>
      <c r="G27">
        <v>-0.93939739276709</v>
      </c>
      <c r="H27">
        <v>-0.93939739276709</v>
      </c>
      <c r="I27">
        <v>-0.93939739276709</v>
      </c>
      <c r="J27">
        <v>-0.93939739276709</v>
      </c>
      <c r="K27">
        <v>-0.939871499798553</v>
      </c>
      <c r="L27">
        <v>-0.939871499798553</v>
      </c>
      <c r="M27">
        <v>-0.939871499798553</v>
      </c>
      <c r="N27">
        <v>-0.939871499798553</v>
      </c>
    </row>
    <row r="28" spans="1:14" x14ac:dyDescent="0.3">
      <c r="A28" t="s">
        <v>3</v>
      </c>
      <c r="B28">
        <v>0.87472995139940002</v>
      </c>
      <c r="C28">
        <v>0.87472995139940002</v>
      </c>
      <c r="D28">
        <v>0.87472995139940002</v>
      </c>
      <c r="E28">
        <v>0.87472995139940002</v>
      </c>
      <c r="F28">
        <v>0.96025227300893001</v>
      </c>
      <c r="G28">
        <v>0.96025227300893001</v>
      </c>
      <c r="H28">
        <v>0.96025227300893001</v>
      </c>
      <c r="I28">
        <v>0.96025227300893001</v>
      </c>
      <c r="J28">
        <v>0.96025227300893001</v>
      </c>
      <c r="K28">
        <v>0.97145733819549995</v>
      </c>
      <c r="L28">
        <v>0.97145733819549995</v>
      </c>
      <c r="M28">
        <v>0.97145733819549995</v>
      </c>
      <c r="N28">
        <v>0.97145733819549995</v>
      </c>
    </row>
    <row r="29" spans="1:14" x14ac:dyDescent="0.3">
      <c r="A29" t="s">
        <v>4</v>
      </c>
      <c r="B29">
        <v>0.52698988336066899</v>
      </c>
      <c r="C29">
        <v>0.52698988336066899</v>
      </c>
      <c r="D29">
        <v>0.52698988336066899</v>
      </c>
      <c r="E29">
        <v>0.52698988336066899</v>
      </c>
      <c r="F29">
        <v>0.66774923775517203</v>
      </c>
      <c r="G29">
        <v>0.66774923775517203</v>
      </c>
      <c r="H29">
        <v>0.66774923775517203</v>
      </c>
      <c r="I29">
        <v>0.66774923775517203</v>
      </c>
      <c r="J29">
        <v>0.66774923775517203</v>
      </c>
      <c r="K29">
        <v>0.69258795466253698</v>
      </c>
      <c r="L29">
        <v>0.69258795466253698</v>
      </c>
      <c r="M29">
        <v>0.69258795466253698</v>
      </c>
      <c r="N29">
        <v>0.69258795466253698</v>
      </c>
    </row>
    <row r="31" spans="1:14" x14ac:dyDescent="0.3">
      <c r="B31" s="3">
        <f>(B27-A21)</f>
        <v>2.2204460492503131E-16</v>
      </c>
      <c r="C31" s="3">
        <f>(C27-A21)</f>
        <v>2.2204460492503131E-16</v>
      </c>
      <c r="D31" s="3">
        <f>(D27-A21)</f>
        <v>2.2204460492503131E-16</v>
      </c>
      <c r="E31" s="3">
        <f>(E27-A21)</f>
        <v>2.2204460492503131E-16</v>
      </c>
      <c r="F31" s="3">
        <f>F27-B21</f>
        <v>0</v>
      </c>
      <c r="G31" s="3">
        <f>G27-B21</f>
        <v>0</v>
      </c>
      <c r="H31" s="3">
        <f>H27-B21</f>
        <v>0</v>
      </c>
      <c r="I31" s="3">
        <f>I27-B21</f>
        <v>0</v>
      </c>
      <c r="J31" s="3">
        <f>J27-B21</f>
        <v>0</v>
      </c>
      <c r="K31" s="3">
        <f>K27-C21</f>
        <v>0</v>
      </c>
      <c r="L31" s="3">
        <f>L27-C21</f>
        <v>0</v>
      </c>
      <c r="M31" s="3">
        <f>M27-C21</f>
        <v>0</v>
      </c>
      <c r="N31" s="3">
        <f>N27-C21</f>
        <v>0</v>
      </c>
    </row>
    <row r="32" spans="1:14" x14ac:dyDescent="0.3">
      <c r="B32" s="3">
        <f t="shared" ref="B32:B33" si="8">(B28-A22)</f>
        <v>-2.2204460492503131E-16</v>
      </c>
      <c r="C32" s="3">
        <f t="shared" ref="C32:C33" si="9">(C28-A22)</f>
        <v>-2.2204460492503131E-16</v>
      </c>
      <c r="D32" s="3">
        <f t="shared" ref="D32:D33" si="10">(D28-A22)</f>
        <v>-2.2204460492503131E-16</v>
      </c>
      <c r="E32" s="3">
        <f t="shared" ref="E32:E33" si="11">(E28-A22)</f>
        <v>-2.2204460492503131E-16</v>
      </c>
      <c r="F32" s="3">
        <f t="shared" ref="F32:F33" si="12">F28-B22</f>
        <v>0</v>
      </c>
      <c r="G32" s="3">
        <f t="shared" ref="G32:G33" si="13">G28-B22</f>
        <v>0</v>
      </c>
      <c r="H32" s="3">
        <f t="shared" ref="H32:H33" si="14">H28-B22</f>
        <v>0</v>
      </c>
      <c r="I32" s="3">
        <f t="shared" ref="I32:I33" si="15">I28-B22</f>
        <v>0</v>
      </c>
      <c r="J32" s="3">
        <f t="shared" ref="J32:K33" si="16">J28-B22</f>
        <v>0</v>
      </c>
      <c r="K32" s="3">
        <f t="shared" si="16"/>
        <v>0</v>
      </c>
      <c r="L32" s="3">
        <f t="shared" ref="L32:L33" si="17">L28-C22</f>
        <v>0</v>
      </c>
      <c r="M32" s="3">
        <f t="shared" ref="M32:M33" si="18">M28-C22</f>
        <v>0</v>
      </c>
      <c r="N32" s="3">
        <f t="shared" ref="N32:N33" si="19">N28-C22</f>
        <v>0</v>
      </c>
    </row>
    <row r="33" spans="2:14" x14ac:dyDescent="0.3">
      <c r="B33" s="3">
        <f t="shared" si="8"/>
        <v>1.1102230246251565E-16</v>
      </c>
      <c r="C33" s="3">
        <f t="shared" si="9"/>
        <v>1.1102230246251565E-16</v>
      </c>
      <c r="D33" s="3">
        <f t="shared" si="10"/>
        <v>1.1102230246251565E-16</v>
      </c>
      <c r="E33" s="3">
        <f t="shared" si="11"/>
        <v>1.1102230246251565E-16</v>
      </c>
      <c r="F33" s="3">
        <f t="shared" si="12"/>
        <v>0</v>
      </c>
      <c r="G33" s="3">
        <f t="shared" si="13"/>
        <v>0</v>
      </c>
      <c r="H33" s="3">
        <f t="shared" si="14"/>
        <v>0</v>
      </c>
      <c r="I33" s="3">
        <f t="shared" si="15"/>
        <v>0</v>
      </c>
      <c r="J33" s="3">
        <f t="shared" si="16"/>
        <v>0</v>
      </c>
      <c r="K33" s="3">
        <f t="shared" si="16"/>
        <v>0</v>
      </c>
      <c r="L33" s="3">
        <f t="shared" si="17"/>
        <v>0</v>
      </c>
      <c r="M33" s="3">
        <f t="shared" si="18"/>
        <v>0</v>
      </c>
      <c r="N33" s="3">
        <f t="shared" si="1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CFB7-3900-43B8-9D50-55CCB3DD2769}">
  <dimension ref="A1:X33"/>
  <sheetViews>
    <sheetView topLeftCell="A3" zoomScale="78" workbookViewId="0">
      <selection activeCell="B31" sqref="B31:N33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-2</v>
      </c>
      <c r="C3" s="1">
        <v>0</v>
      </c>
      <c r="D3" s="1">
        <v>0</v>
      </c>
      <c r="F3" t="s">
        <v>2</v>
      </c>
      <c r="G3">
        <v>-1.9999999098204475</v>
      </c>
      <c r="H3">
        <v>0</v>
      </c>
      <c r="I3">
        <v>0</v>
      </c>
      <c r="K3" t="s">
        <v>2</v>
      </c>
      <c r="L3">
        <v>-1.7623393961020737</v>
      </c>
      <c r="M3">
        <v>0</v>
      </c>
      <c r="N3">
        <v>0</v>
      </c>
      <c r="P3" t="s">
        <v>2</v>
      </c>
      <c r="Q3">
        <v>-1.9996582179535152</v>
      </c>
      <c r="R3">
        <v>0</v>
      </c>
      <c r="S3">
        <v>0</v>
      </c>
      <c r="U3" t="s">
        <v>2</v>
      </c>
      <c r="V3">
        <v>-1.9999996146593857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-0.99993541256499119</v>
      </c>
      <c r="I4">
        <v>0</v>
      </c>
      <c r="K4" t="s">
        <v>3</v>
      </c>
      <c r="L4">
        <v>0</v>
      </c>
      <c r="M4">
        <v>-0.87406029801736385</v>
      </c>
      <c r="N4">
        <v>0</v>
      </c>
      <c r="P4" t="s">
        <v>3</v>
      </c>
      <c r="Q4">
        <v>0</v>
      </c>
      <c r="R4">
        <v>-0.99985761040418908</v>
      </c>
      <c r="S4">
        <v>0</v>
      </c>
      <c r="U4" t="s">
        <v>3</v>
      </c>
      <c r="V4">
        <v>0</v>
      </c>
      <c r="W4">
        <v>-0.99999985869654495</v>
      </c>
      <c r="X4">
        <v>0</v>
      </c>
    </row>
    <row r="5" spans="1:24" x14ac:dyDescent="0.3">
      <c r="A5" s="1" t="s">
        <v>4</v>
      </c>
      <c r="B5" s="1">
        <v>1</v>
      </c>
      <c r="C5" s="1">
        <v>2</v>
      </c>
      <c r="D5" s="1">
        <v>0</v>
      </c>
      <c r="F5" t="s">
        <v>4</v>
      </c>
      <c r="G5">
        <v>0.99990544226677813</v>
      </c>
      <c r="H5">
        <v>1.9998456938187428</v>
      </c>
      <c r="I5">
        <v>0</v>
      </c>
      <c r="K5" t="s">
        <v>4</v>
      </c>
      <c r="L5">
        <v>0.12229715246441523</v>
      </c>
      <c r="M5">
        <v>0.68151042282468377</v>
      </c>
      <c r="N5">
        <v>0</v>
      </c>
      <c r="P5" t="s">
        <v>4</v>
      </c>
      <c r="Q5">
        <v>0.99991126289553767</v>
      </c>
      <c r="R5">
        <v>1.9997200196586677</v>
      </c>
      <c r="S5">
        <v>0</v>
      </c>
      <c r="U5" t="s">
        <v>4</v>
      </c>
      <c r="V5">
        <v>0.99999916202328509</v>
      </c>
      <c r="W5">
        <v>1.9999987025720241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8.132351687681041E-15</v>
      </c>
      <c r="H8">
        <f t="shared" ref="H8:I10" si="0">(H3-C3)^2</f>
        <v>0</v>
      </c>
      <c r="I8">
        <f t="shared" si="0"/>
        <v>0</v>
      </c>
      <c r="L8">
        <f>(L3-B3)^2</f>
        <v>5.6482562645127028E-2</v>
      </c>
      <c r="M8">
        <f t="shared" ref="M8:N10" si="1">(M3-C3)^2</f>
        <v>0</v>
      </c>
      <c r="N8">
        <f t="shared" si="1"/>
        <v>0</v>
      </c>
      <c r="Q8">
        <f>(Q3-B3)^2</f>
        <v>1.1681496729935759E-7</v>
      </c>
      <c r="R8">
        <f t="shared" ref="R8:S10" si="2">(R3-C3)^2</f>
        <v>0</v>
      </c>
      <c r="S8">
        <f t="shared" si="2"/>
        <v>0</v>
      </c>
      <c r="V8">
        <f>(V3-B3)^2</f>
        <v>1.4848738903385899E-13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4.1715367610174606E-9</v>
      </c>
      <c r="I9">
        <f t="shared" si="0"/>
        <v>0</v>
      </c>
      <c r="L9">
        <f t="shared" ref="L9:L10" si="5">(L4-B4)^2</f>
        <v>0</v>
      </c>
      <c r="M9">
        <f t="shared" si="1"/>
        <v>1.586080853547521E-2</v>
      </c>
      <c r="N9">
        <f t="shared" si="1"/>
        <v>0</v>
      </c>
      <c r="Q9">
        <f t="shared" ref="Q9:Q10" si="6">(Q4-B4)^2</f>
        <v>0</v>
      </c>
      <c r="R9">
        <f t="shared" si="2"/>
        <v>2.0274796995197491E-8</v>
      </c>
      <c r="S9">
        <f t="shared" si="2"/>
        <v>0</v>
      </c>
      <c r="V9">
        <f t="shared" ref="V9:V10" si="7">(V4-B4)^2</f>
        <v>0</v>
      </c>
      <c r="W9">
        <f t="shared" si="3"/>
        <v>1.9966666408481046E-14</v>
      </c>
      <c r="X9">
        <f t="shared" si="3"/>
        <v>0</v>
      </c>
    </row>
    <row r="10" spans="1:24" x14ac:dyDescent="0.3">
      <c r="G10">
        <f t="shared" si="4"/>
        <v>8.9411649120578119E-9</v>
      </c>
      <c r="H10">
        <f t="shared" si="0"/>
        <v>2.3810397574187389E-8</v>
      </c>
      <c r="I10">
        <f t="shared" si="0"/>
        <v>0</v>
      </c>
      <c r="L10">
        <f t="shared" si="5"/>
        <v>0.77036228857207401</v>
      </c>
      <c r="M10">
        <f t="shared" si="1"/>
        <v>1.7384147651199442</v>
      </c>
      <c r="N10">
        <f t="shared" si="1"/>
        <v>0</v>
      </c>
      <c r="Q10">
        <f t="shared" si="6"/>
        <v>7.8742737083590119E-9</v>
      </c>
      <c r="R10">
        <f t="shared" si="2"/>
        <v>7.838899153252503E-8</v>
      </c>
      <c r="S10">
        <f t="shared" si="2"/>
        <v>0</v>
      </c>
      <c r="V10">
        <f t="shared" si="7"/>
        <v>7.022049747262094E-13</v>
      </c>
      <c r="W10">
        <f t="shared" si="3"/>
        <v>1.6833193527613062E-12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3.6923107379614349E-8</v>
      </c>
      <c r="L13">
        <f>SUM(L8:N10)</f>
        <v>2.5811204248726205</v>
      </c>
      <c r="Q13">
        <f>SUM(Q8:S10)</f>
        <v>2.2335302953543912E-7</v>
      </c>
      <c r="V13">
        <f>SUM(V8:X10)</f>
        <v>2.5539783829298557E-12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-0.91503904625487287</v>
      </c>
      <c r="B21">
        <v>-0.93939713925239277</v>
      </c>
      <c r="C21">
        <v>-0.93987149658226965</v>
      </c>
    </row>
    <row r="22" spans="1:14" x14ac:dyDescent="0.3">
      <c r="A22">
        <v>-0.54229869466820646</v>
      </c>
      <c r="B22">
        <v>-0.56653257722163564</v>
      </c>
      <c r="C22">
        <v>-0.56746432528354329</v>
      </c>
    </row>
    <row r="23" spans="1:14" x14ac:dyDescent="0.3">
      <c r="A23">
        <v>0.75658599700534424</v>
      </c>
      <c r="B23">
        <v>0.79046629122455991</v>
      </c>
      <c r="C23">
        <v>0.79325310692756712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-0.91503904625487298</v>
      </c>
      <c r="C27">
        <v>-0.91503904625487298</v>
      </c>
      <c r="D27">
        <v>-0.91503904625487298</v>
      </c>
      <c r="E27">
        <v>-0.91503904625487298</v>
      </c>
      <c r="F27">
        <v>-0.93939713925239299</v>
      </c>
      <c r="G27">
        <v>-0.93939713925239299</v>
      </c>
      <c r="H27">
        <v>-0.93939713925239299</v>
      </c>
      <c r="I27">
        <v>-0.93939713925239299</v>
      </c>
      <c r="J27">
        <v>-0.93939713925239299</v>
      </c>
      <c r="K27">
        <v>-0.93987149658226998</v>
      </c>
      <c r="L27">
        <v>-0.93987149658226998</v>
      </c>
      <c r="M27">
        <v>-0.93987149658226998</v>
      </c>
      <c r="N27">
        <v>-0.93987149658226998</v>
      </c>
    </row>
    <row r="28" spans="1:14" x14ac:dyDescent="0.3">
      <c r="A28" t="s">
        <v>3</v>
      </c>
      <c r="B28">
        <v>-0.54229869466820602</v>
      </c>
      <c r="C28">
        <v>-0.54229869466820602</v>
      </c>
      <c r="D28">
        <v>-0.54229869466820602</v>
      </c>
      <c r="E28">
        <v>-0.54229869466820602</v>
      </c>
      <c r="F28">
        <v>-0.56653257722163597</v>
      </c>
      <c r="G28">
        <v>-0.56653257722163597</v>
      </c>
      <c r="H28">
        <v>-0.56653257722163597</v>
      </c>
      <c r="I28">
        <v>-0.56653257722163597</v>
      </c>
      <c r="J28">
        <v>-0.56653257722163597</v>
      </c>
      <c r="K28">
        <v>-0.56746432528354296</v>
      </c>
      <c r="L28">
        <v>-0.56746432528354296</v>
      </c>
      <c r="M28">
        <v>-0.56746432528354296</v>
      </c>
      <c r="N28">
        <v>-0.56746432528354296</v>
      </c>
    </row>
    <row r="29" spans="1:14" x14ac:dyDescent="0.3">
      <c r="A29" t="s">
        <v>4</v>
      </c>
      <c r="B29">
        <v>0.75658599700534401</v>
      </c>
      <c r="C29">
        <v>0.75658599700534401</v>
      </c>
      <c r="D29">
        <v>0.75658599700534401</v>
      </c>
      <c r="E29">
        <v>0.75658599700534401</v>
      </c>
      <c r="F29">
        <v>0.79046629122456002</v>
      </c>
      <c r="G29">
        <v>0.79046629122456002</v>
      </c>
      <c r="H29">
        <v>0.79046629122456002</v>
      </c>
      <c r="I29">
        <v>0.79046629122456002</v>
      </c>
      <c r="J29">
        <v>0.79046629122456002</v>
      </c>
      <c r="K29">
        <v>0.79325310692756701</v>
      </c>
      <c r="L29">
        <v>0.79325310692756701</v>
      </c>
      <c r="M29">
        <v>0.79325310692756701</v>
      </c>
      <c r="N29">
        <v>0.79325310692756701</v>
      </c>
    </row>
    <row r="31" spans="1:14" x14ac:dyDescent="0.3">
      <c r="B31" s="3">
        <f>(B27-A21)</f>
        <v>-1.1102230246251565E-16</v>
      </c>
      <c r="C31" s="3">
        <f>(C27-A21)</f>
        <v>-1.1102230246251565E-16</v>
      </c>
      <c r="D31" s="3">
        <f>(D27-A21)</f>
        <v>-1.1102230246251565E-16</v>
      </c>
      <c r="E31" s="3">
        <f>(E27-A21)</f>
        <v>-1.1102230246251565E-16</v>
      </c>
      <c r="F31" s="3">
        <f>F27-B21</f>
        <v>0</v>
      </c>
      <c r="G31" s="3">
        <f>G27-B21</f>
        <v>0</v>
      </c>
      <c r="H31" s="3">
        <f>H27-B21</f>
        <v>0</v>
      </c>
      <c r="I31" s="3">
        <f>I27-B21</f>
        <v>0</v>
      </c>
      <c r="J31" s="3">
        <f>J27-B21</f>
        <v>0</v>
      </c>
      <c r="K31" s="3">
        <f>K27-C21</f>
        <v>0</v>
      </c>
      <c r="L31" s="3">
        <f>L27-C21</f>
        <v>0</v>
      </c>
      <c r="M31" s="3">
        <f>M27-C21</f>
        <v>0</v>
      </c>
      <c r="N31" s="3">
        <f>N27-C21</f>
        <v>0</v>
      </c>
    </row>
    <row r="32" spans="1:14" x14ac:dyDescent="0.3">
      <c r="B32" s="3">
        <f t="shared" ref="B32:B33" si="8">(B28-A22)</f>
        <v>4.4408920985006262E-16</v>
      </c>
      <c r="C32" s="3">
        <f t="shared" ref="C32:C33" si="9">(C28-A22)</f>
        <v>4.4408920985006262E-16</v>
      </c>
      <c r="D32" s="3">
        <f t="shared" ref="D32:D33" si="10">(D28-A22)</f>
        <v>4.4408920985006262E-16</v>
      </c>
      <c r="E32" s="3">
        <f t="shared" ref="E32:E33" si="11">(E28-A22)</f>
        <v>4.4408920985006262E-16</v>
      </c>
      <c r="F32" s="3">
        <f t="shared" ref="F32:F33" si="12">F28-B22</f>
        <v>0</v>
      </c>
      <c r="G32" s="3">
        <f t="shared" ref="G32:G33" si="13">G28-B22</f>
        <v>0</v>
      </c>
      <c r="H32" s="3">
        <f t="shared" ref="H32:H33" si="14">H28-B22</f>
        <v>0</v>
      </c>
      <c r="I32" s="3">
        <f t="shared" ref="I32:I33" si="15">I28-B22</f>
        <v>0</v>
      </c>
      <c r="J32" s="3">
        <f t="shared" ref="J32:K33" si="16">J28-B22</f>
        <v>0</v>
      </c>
      <c r="K32" s="3">
        <f t="shared" si="16"/>
        <v>0</v>
      </c>
      <c r="L32" s="3">
        <f t="shared" ref="L32:L33" si="17">L28-C22</f>
        <v>0</v>
      </c>
      <c r="M32" s="3">
        <f t="shared" ref="M32:M33" si="18">M28-C22</f>
        <v>0</v>
      </c>
      <c r="N32" s="3">
        <f t="shared" ref="N32:N33" si="19">N28-C22</f>
        <v>0</v>
      </c>
    </row>
    <row r="33" spans="2:14" x14ac:dyDescent="0.3">
      <c r="B33" s="3">
        <f t="shared" si="8"/>
        <v>-2.2204460492503131E-16</v>
      </c>
      <c r="C33" s="3">
        <f t="shared" si="9"/>
        <v>-2.2204460492503131E-16</v>
      </c>
      <c r="D33" s="3">
        <f t="shared" si="10"/>
        <v>-2.2204460492503131E-16</v>
      </c>
      <c r="E33" s="3">
        <f t="shared" si="11"/>
        <v>-2.2204460492503131E-16</v>
      </c>
      <c r="F33" s="3">
        <f t="shared" si="12"/>
        <v>0</v>
      </c>
      <c r="G33" s="3">
        <f t="shared" si="13"/>
        <v>0</v>
      </c>
      <c r="H33" s="3">
        <f t="shared" si="14"/>
        <v>0</v>
      </c>
      <c r="I33" s="3">
        <f t="shared" si="15"/>
        <v>0</v>
      </c>
      <c r="J33" s="3">
        <f t="shared" si="16"/>
        <v>0</v>
      </c>
      <c r="K33" s="3">
        <f t="shared" si="16"/>
        <v>0</v>
      </c>
      <c r="L33" s="3">
        <f t="shared" si="17"/>
        <v>0</v>
      </c>
      <c r="M33" s="3">
        <f t="shared" si="18"/>
        <v>0</v>
      </c>
      <c r="N33" s="3">
        <f t="shared" si="19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9EDB-7BC6-4370-857C-2E3170C12C25}">
  <dimension ref="A1:X34"/>
  <sheetViews>
    <sheetView zoomScale="78" workbookViewId="0">
      <selection activeCell="B31" sqref="B31:N34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-2</v>
      </c>
      <c r="C3" s="1">
        <v>0</v>
      </c>
      <c r="D3" s="1">
        <v>0</v>
      </c>
      <c r="F3" t="s">
        <v>2</v>
      </c>
      <c r="G3">
        <v>-7.0767131986192471</v>
      </c>
      <c r="H3">
        <v>0</v>
      </c>
      <c r="I3">
        <v>0</v>
      </c>
      <c r="K3" t="s">
        <v>2</v>
      </c>
      <c r="L3">
        <v>-1.8326718094778622</v>
      </c>
      <c r="M3">
        <v>0</v>
      </c>
      <c r="N3">
        <v>0</v>
      </c>
      <c r="P3" t="s">
        <v>2</v>
      </c>
      <c r="Q3">
        <v>-1.99999302154264</v>
      </c>
      <c r="R3">
        <v>0</v>
      </c>
      <c r="S3">
        <v>0</v>
      </c>
      <c r="U3" t="s">
        <v>2</v>
      </c>
      <c r="V3">
        <v>-1.9999997553051165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2</v>
      </c>
      <c r="D4" s="1">
        <v>0</v>
      </c>
      <c r="F4" t="s">
        <v>3</v>
      </c>
      <c r="G4">
        <v>0</v>
      </c>
      <c r="H4">
        <v>2.2460095968057243</v>
      </c>
      <c r="I4">
        <v>0</v>
      </c>
      <c r="K4" t="s">
        <v>3</v>
      </c>
      <c r="L4">
        <v>0</v>
      </c>
      <c r="M4">
        <v>1.9576146959586993</v>
      </c>
      <c r="N4">
        <v>0</v>
      </c>
      <c r="P4" t="s">
        <v>3</v>
      </c>
      <c r="Q4">
        <v>0</v>
      </c>
      <c r="R4">
        <v>1.9999932782312506</v>
      </c>
      <c r="S4">
        <v>0</v>
      </c>
      <c r="U4" t="s">
        <v>3</v>
      </c>
      <c r="V4">
        <v>0</v>
      </c>
      <c r="W4">
        <v>1.9999917879780127</v>
      </c>
      <c r="X4">
        <v>0</v>
      </c>
    </row>
    <row r="5" spans="1:24" x14ac:dyDescent="0.3">
      <c r="A5" s="1" t="s">
        <v>4</v>
      </c>
      <c r="B5" s="1">
        <v>1</v>
      </c>
      <c r="C5" s="1">
        <v>-1</v>
      </c>
      <c r="D5" s="1">
        <v>0</v>
      </c>
      <c r="F5" t="s">
        <v>4</v>
      </c>
      <c r="G5">
        <v>-2.1455905962067567</v>
      </c>
      <c r="H5">
        <v>-1.2510930229772199</v>
      </c>
      <c r="I5">
        <v>0</v>
      </c>
      <c r="K5" t="s">
        <v>4</v>
      </c>
      <c r="L5">
        <v>0.64076779516391513</v>
      </c>
      <c r="M5">
        <v>-0.8791251946192451</v>
      </c>
      <c r="N5">
        <v>0</v>
      </c>
      <c r="P5" t="s">
        <v>4</v>
      </c>
      <c r="Q5">
        <v>0.99999458422574417</v>
      </c>
      <c r="R5">
        <v>-0.99999791173318386</v>
      </c>
      <c r="S5">
        <v>0</v>
      </c>
      <c r="U5" t="s">
        <v>4</v>
      </c>
      <c r="V5">
        <v>0.99999416531765317</v>
      </c>
      <c r="W5">
        <v>-0.99999873940822592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25.773016901034868</v>
      </c>
      <c r="H8">
        <f t="shared" ref="H8:I10" si="0">(H3-C3)^2</f>
        <v>0</v>
      </c>
      <c r="I8">
        <f t="shared" si="0"/>
        <v>0</v>
      </c>
      <c r="L8">
        <f>(L3-B3)^2</f>
        <v>2.7998723343412836E-2</v>
      </c>
      <c r="M8">
        <f t="shared" ref="M8:N10" si="1">(M3-C3)^2</f>
        <v>0</v>
      </c>
      <c r="N8">
        <f t="shared" si="1"/>
        <v>0</v>
      </c>
      <c r="Q8">
        <f>(Q3-B3)^2</f>
        <v>4.8698867124975904E-11</v>
      </c>
      <c r="R8">
        <f t="shared" ref="R8:S10" si="2">(R3-C3)^2</f>
        <v>0</v>
      </c>
      <c r="S8">
        <f t="shared" si="2"/>
        <v>0</v>
      </c>
      <c r="V8">
        <f>(V3-B3)^2</f>
        <v>5.9875585994771347E-14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6.0520721720515043E-2</v>
      </c>
      <c r="I9">
        <f t="shared" si="0"/>
        <v>0</v>
      </c>
      <c r="L9">
        <f t="shared" ref="L9:L10" si="5">(L4-B4)^2</f>
        <v>0</v>
      </c>
      <c r="M9">
        <f t="shared" si="1"/>
        <v>1.7965139986735013E-3</v>
      </c>
      <c r="N9">
        <f t="shared" si="1"/>
        <v>0</v>
      </c>
      <c r="Q9">
        <f t="shared" ref="Q9:Q10" si="6">(Q4-B4)^2</f>
        <v>0</v>
      </c>
      <c r="R9">
        <f t="shared" si="2"/>
        <v>4.5182175120206011E-11</v>
      </c>
      <c r="S9">
        <f t="shared" si="2"/>
        <v>0</v>
      </c>
      <c r="V9">
        <f t="shared" ref="V9:V10" si="7">(V4-B4)^2</f>
        <v>0</v>
      </c>
      <c r="W9">
        <f t="shared" si="3"/>
        <v>6.7437305120035039E-11</v>
      </c>
      <c r="X9">
        <f t="shared" si="3"/>
        <v>0</v>
      </c>
    </row>
    <row r="10" spans="1:24" x14ac:dyDescent="0.3">
      <c r="G10">
        <f t="shared" si="4"/>
        <v>9.8947401989443797</v>
      </c>
      <c r="H10">
        <f t="shared" si="0"/>
        <v>6.3047706187838684E-2</v>
      </c>
      <c r="I10">
        <f t="shared" si="0"/>
        <v>0</v>
      </c>
      <c r="L10">
        <f t="shared" si="5"/>
        <v>0.12904777699139483</v>
      </c>
      <c r="M10">
        <f t="shared" si="1"/>
        <v>1.4610718575835374E-2</v>
      </c>
      <c r="N10">
        <f t="shared" si="1"/>
        <v>0</v>
      </c>
      <c r="Q10">
        <f t="shared" si="6"/>
        <v>2.9330610790162187E-11</v>
      </c>
      <c r="R10">
        <f t="shared" si="2"/>
        <v>4.3608582953745436E-12</v>
      </c>
      <c r="S10">
        <f t="shared" si="2"/>
        <v>0</v>
      </c>
      <c r="V10">
        <f t="shared" si="7"/>
        <v>3.4043518088386835E-11</v>
      </c>
      <c r="W10">
        <f t="shared" si="3"/>
        <v>1.589091620870884E-12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35.791325527887601</v>
      </c>
      <c r="L13">
        <f>SUM(L8:N10)</f>
        <v>0.17345373290931654</v>
      </c>
      <c r="Q13">
        <f>SUM(Q8:S10)</f>
        <v>1.2757251133071866E-10</v>
      </c>
      <c r="V13">
        <f>SUM(V8:X10)</f>
        <v>1.0312979041528754E-10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-0.91500206884387525</v>
      </c>
      <c r="B21">
        <v>-0.93939739276708978</v>
      </c>
      <c r="C21">
        <v>-0.93987149979855333</v>
      </c>
    </row>
    <row r="22" spans="1:14" x14ac:dyDescent="0.3">
      <c r="A22">
        <v>0.87472995139940024</v>
      </c>
      <c r="B22">
        <v>0.9602522730089299</v>
      </c>
      <c r="C22">
        <v>0.97145733819550006</v>
      </c>
    </row>
    <row r="23" spans="1:14" x14ac:dyDescent="0.3">
      <c r="A23">
        <v>-0.83917546645926022</v>
      </c>
      <c r="B23">
        <v>-1.2818137007169255</v>
      </c>
      <c r="C23">
        <v>-1.3819891372865094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-0.91500206884387503</v>
      </c>
      <c r="C27">
        <v>-0.91500206884387503</v>
      </c>
      <c r="D27">
        <v>-0.91500206884387503</v>
      </c>
      <c r="E27">
        <v>-0.91500206884387503</v>
      </c>
      <c r="F27">
        <v>-0.93939739276709</v>
      </c>
      <c r="G27">
        <v>-0.93939739276709</v>
      </c>
      <c r="H27">
        <v>-0.93939739276709</v>
      </c>
      <c r="I27">
        <v>-0.93939739276709</v>
      </c>
      <c r="J27">
        <v>-0.93939739276709</v>
      </c>
      <c r="K27">
        <v>-0.939871499798553</v>
      </c>
      <c r="L27">
        <v>-0.939871499798553</v>
      </c>
      <c r="M27">
        <v>-0.939871499798553</v>
      </c>
      <c r="N27">
        <v>-0.939871499798553</v>
      </c>
    </row>
    <row r="28" spans="1:14" x14ac:dyDescent="0.3">
      <c r="A28" t="s">
        <v>3</v>
      </c>
      <c r="B28">
        <v>0.87472995139940002</v>
      </c>
      <c r="C28">
        <v>0.87472995139940002</v>
      </c>
      <c r="D28">
        <v>0.87472995139940002</v>
      </c>
      <c r="E28">
        <v>0.87472995139940002</v>
      </c>
      <c r="F28">
        <v>0.96025227300893001</v>
      </c>
      <c r="G28">
        <v>0.96025227300893001</v>
      </c>
      <c r="H28">
        <v>0.96025227300893001</v>
      </c>
      <c r="I28">
        <v>0.96025227300893001</v>
      </c>
      <c r="J28">
        <v>0.96025227300893001</v>
      </c>
      <c r="K28">
        <v>0.97145733819549995</v>
      </c>
      <c r="L28">
        <v>0.97145733819549995</v>
      </c>
      <c r="M28">
        <v>0.97145733819549995</v>
      </c>
      <c r="N28">
        <v>0.97145733819549995</v>
      </c>
    </row>
    <row r="29" spans="1:14" x14ac:dyDescent="0.3">
      <c r="A29" t="s">
        <v>4</v>
      </c>
      <c r="B29">
        <v>-0.83917546645926</v>
      </c>
      <c r="C29">
        <v>-0.83917546645926</v>
      </c>
      <c r="D29">
        <v>-0.83917546645926</v>
      </c>
      <c r="E29">
        <v>-0.83917546645926</v>
      </c>
      <c r="F29">
        <v>-1.2818137007169299</v>
      </c>
      <c r="G29">
        <v>-1.2818137007169299</v>
      </c>
      <c r="H29">
        <v>-1.2818137007169299</v>
      </c>
      <c r="I29">
        <v>-1.2818137007169299</v>
      </c>
      <c r="J29">
        <v>-1.2818137007169299</v>
      </c>
      <c r="K29">
        <v>-1.3819891372865101</v>
      </c>
      <c r="L29">
        <v>-1.3819891372865101</v>
      </c>
      <c r="M29">
        <v>-1.3819891372865101</v>
      </c>
      <c r="N29">
        <v>-1.3819891372865101</v>
      </c>
    </row>
    <row r="31" spans="1:14" x14ac:dyDescent="0.3">
      <c r="B31" s="3">
        <f>(B27-A21)</f>
        <v>2.2204460492503131E-16</v>
      </c>
      <c r="C31" s="3">
        <f>(C27-A21)</f>
        <v>2.2204460492503131E-16</v>
      </c>
      <c r="D31" s="3">
        <f>(D27-A21)</f>
        <v>2.2204460492503131E-16</v>
      </c>
      <c r="E31" s="3">
        <f>(E27-A21)</f>
        <v>2.2204460492503131E-16</v>
      </c>
      <c r="F31" s="3">
        <f>F27-B21</f>
        <v>0</v>
      </c>
      <c r="G31" s="3">
        <f>G27-B21</f>
        <v>0</v>
      </c>
      <c r="H31" s="3">
        <f>H27-B21</f>
        <v>0</v>
      </c>
      <c r="I31" s="3">
        <f>I27-B21</f>
        <v>0</v>
      </c>
      <c r="J31" s="3">
        <f>J27-B21</f>
        <v>0</v>
      </c>
      <c r="K31" s="3">
        <f>K27-C21</f>
        <v>0</v>
      </c>
      <c r="L31" s="3">
        <f>L27-C21</f>
        <v>0</v>
      </c>
      <c r="M31" s="3">
        <f>M27-C21</f>
        <v>0</v>
      </c>
      <c r="N31" s="3">
        <f>N27-C21</f>
        <v>0</v>
      </c>
    </row>
    <row r="32" spans="1:14" x14ac:dyDescent="0.3">
      <c r="B32" s="3">
        <f t="shared" ref="B32:B33" si="8">(B28-A22)</f>
        <v>-2.2204460492503131E-16</v>
      </c>
      <c r="C32" s="3">
        <f t="shared" ref="C32:C33" si="9">(C28-A22)</f>
        <v>-2.2204460492503131E-16</v>
      </c>
      <c r="D32" s="3">
        <f t="shared" ref="D32:D33" si="10">(D28-A22)</f>
        <v>-2.2204460492503131E-16</v>
      </c>
      <c r="E32" s="3">
        <f t="shared" ref="E32:E33" si="11">(E28-A22)</f>
        <v>-2.2204460492503131E-16</v>
      </c>
      <c r="F32" s="3">
        <f t="shared" ref="F32:F33" si="12">F28-B22</f>
        <v>0</v>
      </c>
      <c r="G32" s="3">
        <f t="shared" ref="G32:G33" si="13">G28-B22</f>
        <v>0</v>
      </c>
      <c r="H32" s="3">
        <f t="shared" ref="H32:H33" si="14">H28-B22</f>
        <v>0</v>
      </c>
      <c r="I32" s="3">
        <f t="shared" ref="I32:I33" si="15">I28-B22</f>
        <v>0</v>
      </c>
      <c r="J32" s="3">
        <f t="shared" ref="J32:K33" si="16">J28-B22</f>
        <v>0</v>
      </c>
      <c r="K32" s="3">
        <f t="shared" si="16"/>
        <v>0</v>
      </c>
      <c r="L32" s="3">
        <f t="shared" ref="L32:L33" si="17">L28-C22</f>
        <v>0</v>
      </c>
      <c r="M32" s="3">
        <f t="shared" ref="M32:M33" si="18">M28-C22</f>
        <v>0</v>
      </c>
      <c r="N32" s="3">
        <f t="shared" ref="N32:N33" si="19">N28-C22</f>
        <v>0</v>
      </c>
    </row>
    <row r="33" spans="2:14" x14ac:dyDescent="0.3">
      <c r="B33" s="3">
        <f t="shared" si="8"/>
        <v>2.2204460492503131E-16</v>
      </c>
      <c r="C33" s="3">
        <f t="shared" si="9"/>
        <v>2.2204460492503131E-16</v>
      </c>
      <c r="D33" s="3">
        <f t="shared" si="10"/>
        <v>2.2204460492503131E-16</v>
      </c>
      <c r="E33" s="3">
        <f t="shared" si="11"/>
        <v>2.2204460492503131E-16</v>
      </c>
      <c r="F33" s="3">
        <f t="shared" si="12"/>
        <v>-4.4408920985006262E-15</v>
      </c>
      <c r="G33" s="3">
        <f t="shared" si="13"/>
        <v>-4.4408920985006262E-15</v>
      </c>
      <c r="H33" s="3">
        <f t="shared" si="14"/>
        <v>-4.4408920985006262E-15</v>
      </c>
      <c r="I33" s="3">
        <f t="shared" si="15"/>
        <v>-4.4408920985006262E-15</v>
      </c>
      <c r="J33" s="3">
        <f t="shared" si="16"/>
        <v>-4.4408920985006262E-15</v>
      </c>
      <c r="K33" s="3">
        <f t="shared" si="16"/>
        <v>0</v>
      </c>
      <c r="L33" s="3">
        <f t="shared" si="17"/>
        <v>0</v>
      </c>
      <c r="M33" s="3">
        <f t="shared" si="18"/>
        <v>0</v>
      </c>
      <c r="N33" s="3">
        <f t="shared" si="19"/>
        <v>0</v>
      </c>
    </row>
    <row r="34" spans="2:14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178F-F207-48AE-AF0F-8A8828B3CF4B}">
  <dimension ref="A1:X33"/>
  <sheetViews>
    <sheetView zoomScale="78" workbookViewId="0">
      <selection activeCell="A26" sqref="A26:N29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-2</v>
      </c>
      <c r="C3" s="1">
        <v>0</v>
      </c>
      <c r="D3" s="1">
        <v>0</v>
      </c>
      <c r="F3" t="s">
        <v>2</v>
      </c>
      <c r="G3">
        <v>-1.9999881176292373</v>
      </c>
      <c r="H3">
        <v>0</v>
      </c>
      <c r="I3">
        <v>0</v>
      </c>
      <c r="K3" t="s">
        <v>2</v>
      </c>
      <c r="L3">
        <v>-1.8222713654252563</v>
      </c>
      <c r="M3">
        <v>0</v>
      </c>
      <c r="N3">
        <v>0</v>
      </c>
      <c r="P3" t="s">
        <v>2</v>
      </c>
      <c r="Q3">
        <v>-1.9996160936488285</v>
      </c>
      <c r="R3">
        <v>0</v>
      </c>
      <c r="S3">
        <v>0</v>
      </c>
      <c r="U3" t="s">
        <v>2</v>
      </c>
      <c r="V3">
        <v>-1.9999995608721923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-0.99994047466757929</v>
      </c>
      <c r="I4">
        <v>0</v>
      </c>
      <c r="K4" t="s">
        <v>3</v>
      </c>
      <c r="L4">
        <v>0</v>
      </c>
      <c r="M4">
        <v>-0.87442255441628292</v>
      </c>
      <c r="N4">
        <v>0</v>
      </c>
      <c r="P4" t="s">
        <v>3</v>
      </c>
      <c r="Q4">
        <v>0</v>
      </c>
      <c r="R4">
        <v>-0.99984042972377274</v>
      </c>
      <c r="S4">
        <v>0</v>
      </c>
      <c r="U4" t="s">
        <v>3</v>
      </c>
      <c r="V4">
        <v>0</v>
      </c>
      <c r="W4">
        <v>-0.9999998751107485</v>
      </c>
      <c r="X4">
        <v>0</v>
      </c>
    </row>
    <row r="5" spans="1:24" x14ac:dyDescent="0.3">
      <c r="A5" s="1" t="s">
        <v>4</v>
      </c>
      <c r="B5" s="1">
        <v>2</v>
      </c>
      <c r="C5" s="1">
        <v>1</v>
      </c>
      <c r="D5" s="1">
        <v>0</v>
      </c>
      <c r="F5" t="s">
        <v>4</v>
      </c>
      <c r="G5">
        <v>1.9998737010365679</v>
      </c>
      <c r="H5">
        <v>0.99987923679830637</v>
      </c>
      <c r="I5">
        <v>0</v>
      </c>
      <c r="K5" t="s">
        <v>4</v>
      </c>
      <c r="L5">
        <v>0.65027115621506193</v>
      </c>
      <c r="M5">
        <v>0.72078580487518162</v>
      </c>
      <c r="N5">
        <v>0</v>
      </c>
      <c r="P5" t="s">
        <v>4</v>
      </c>
      <c r="Q5">
        <v>1.9996339441628328</v>
      </c>
      <c r="R5">
        <v>0.99992592577153117</v>
      </c>
      <c r="S5">
        <v>0</v>
      </c>
      <c r="U5" t="s">
        <v>4</v>
      </c>
      <c r="V5">
        <v>1.999998983947179</v>
      </c>
      <c r="W5">
        <v>0.99999907948393962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1.4119073494135069E-10</v>
      </c>
      <c r="H8">
        <f t="shared" ref="H8:I10" si="0">(H3-C3)^2</f>
        <v>0</v>
      </c>
      <c r="I8">
        <f t="shared" si="0"/>
        <v>0</v>
      </c>
      <c r="L8">
        <f>(L3-B3)^2</f>
        <v>3.1587467547802797E-2</v>
      </c>
      <c r="M8">
        <f t="shared" ref="M8:N10" si="1">(M3-C3)^2</f>
        <v>0</v>
      </c>
      <c r="N8">
        <f t="shared" si="1"/>
        <v>0</v>
      </c>
      <c r="Q8">
        <f>(Q3-B3)^2</f>
        <v>1.473840864697922E-7</v>
      </c>
      <c r="R8">
        <f t="shared" ref="R8:S10" si="2">(R3-C3)^2</f>
        <v>0</v>
      </c>
      <c r="S8">
        <f t="shared" si="2"/>
        <v>0</v>
      </c>
      <c r="V8">
        <f>(V3-B3)^2</f>
        <v>1.9283323147088683E-13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3.5432651997956467E-9</v>
      </c>
      <c r="I9">
        <f t="shared" si="0"/>
        <v>0</v>
      </c>
      <c r="L9">
        <f t="shared" ref="L9:L10" si="5">(L4-B4)^2</f>
        <v>0</v>
      </c>
      <c r="M9">
        <f t="shared" si="1"/>
        <v>1.5769694839331425E-2</v>
      </c>
      <c r="N9">
        <f t="shared" si="1"/>
        <v>0</v>
      </c>
      <c r="Q9">
        <f t="shared" ref="Q9:Q10" si="6">(Q4-B4)^2</f>
        <v>0</v>
      </c>
      <c r="R9">
        <f t="shared" si="2"/>
        <v>2.5462673055244395E-8</v>
      </c>
      <c r="S9">
        <f t="shared" si="2"/>
        <v>0</v>
      </c>
      <c r="V9">
        <f t="shared" ref="V9:V10" si="7">(V4-B4)^2</f>
        <v>0</v>
      </c>
      <c r="W9">
        <f t="shared" si="3"/>
        <v>1.5597325139233038E-14</v>
      </c>
      <c r="X9">
        <f t="shared" si="3"/>
        <v>0</v>
      </c>
    </row>
    <row r="10" spans="1:24" x14ac:dyDescent="0.3">
      <c r="G10">
        <f t="shared" si="4"/>
        <v>1.5951428164018139E-8</v>
      </c>
      <c r="H10">
        <f t="shared" si="0"/>
        <v>1.4583750883296353E-8</v>
      </c>
      <c r="I10">
        <f t="shared" si="0"/>
        <v>0</v>
      </c>
      <c r="L10">
        <f t="shared" si="5"/>
        <v>1.821767951745026</v>
      </c>
      <c r="M10">
        <f t="shared" si="1"/>
        <v>7.7960566759200156E-2</v>
      </c>
      <c r="N10">
        <f t="shared" si="1"/>
        <v>0</v>
      </c>
      <c r="Q10">
        <f t="shared" si="6"/>
        <v>1.3399687592418015E-7</v>
      </c>
      <c r="R10">
        <f t="shared" si="2"/>
        <v>5.4869913232530904E-9</v>
      </c>
      <c r="S10">
        <f t="shared" si="2"/>
        <v>0</v>
      </c>
      <c r="V10">
        <f t="shared" si="7"/>
        <v>1.0323633350420505E-12</v>
      </c>
      <c r="W10">
        <f t="shared" si="3"/>
        <v>8.4734981741100584E-13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3.4219634982051488E-8</v>
      </c>
      <c r="L13">
        <f>SUM(L8:N10)</f>
        <v>1.9470856808913606</v>
      </c>
      <c r="Q13">
        <f>SUM(Q8:S10)</f>
        <v>3.1233062677246984E-7</v>
      </c>
      <c r="V13">
        <f>SUM(V8:X10)</f>
        <v>2.0881437090631762E-12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-0.91503904625487287</v>
      </c>
      <c r="B21">
        <v>-0.93939713925239277</v>
      </c>
      <c r="C21">
        <v>-0.93987149658226965</v>
      </c>
    </row>
    <row r="22" spans="1:14" x14ac:dyDescent="0.3">
      <c r="A22">
        <v>-0.54229869466820646</v>
      </c>
      <c r="B22">
        <v>-0.56653257722163564</v>
      </c>
      <c r="C22">
        <v>-0.56746432528354329</v>
      </c>
    </row>
    <row r="23" spans="1:14" x14ac:dyDescent="0.3">
      <c r="A23">
        <v>0.73163825152021689</v>
      </c>
      <c r="B23">
        <v>0.75948181128981407</v>
      </c>
      <c r="C23">
        <v>0.76166261715353101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-0.91503904625487298</v>
      </c>
      <c r="C27">
        <v>-0.91503904625487298</v>
      </c>
      <c r="D27">
        <v>-0.91503904625487298</v>
      </c>
      <c r="E27">
        <v>-0.91503904625487298</v>
      </c>
      <c r="F27">
        <v>-0.93939713925239299</v>
      </c>
      <c r="G27">
        <v>-0.93939713925239299</v>
      </c>
      <c r="H27">
        <v>-0.93939713925239299</v>
      </c>
      <c r="I27">
        <v>-0.93939713925239299</v>
      </c>
      <c r="J27">
        <v>-0.93939713925239299</v>
      </c>
      <c r="K27">
        <v>-0.93987149658226998</v>
      </c>
      <c r="L27">
        <v>-0.93987149658226998</v>
      </c>
      <c r="M27">
        <v>-0.93987149658226998</v>
      </c>
      <c r="N27">
        <v>-0.93987149658226998</v>
      </c>
    </row>
    <row r="28" spans="1:14" x14ac:dyDescent="0.3">
      <c r="A28" t="s">
        <v>3</v>
      </c>
      <c r="B28">
        <v>-0.54229869466820602</v>
      </c>
      <c r="C28">
        <v>-0.54229869466820602</v>
      </c>
      <c r="D28">
        <v>-0.54229869466820602</v>
      </c>
      <c r="E28">
        <v>-0.54229869466820602</v>
      </c>
      <c r="F28">
        <v>-0.56653257722163597</v>
      </c>
      <c r="G28">
        <v>-0.56653257722163597</v>
      </c>
      <c r="H28">
        <v>-0.56653257722163597</v>
      </c>
      <c r="I28">
        <v>-0.56653257722163597</v>
      </c>
      <c r="J28">
        <v>-0.56653257722163597</v>
      </c>
      <c r="K28">
        <v>-0.56746432528354296</v>
      </c>
      <c r="L28">
        <v>-0.56746432528354296</v>
      </c>
      <c r="M28">
        <v>-0.56746432528354296</v>
      </c>
      <c r="N28">
        <v>-0.56746432528354296</v>
      </c>
    </row>
    <row r="29" spans="1:14" x14ac:dyDescent="0.3">
      <c r="A29" t="s">
        <v>4</v>
      </c>
      <c r="B29">
        <v>0.731638251520217</v>
      </c>
      <c r="C29">
        <v>0.731638251520217</v>
      </c>
      <c r="D29">
        <v>0.731638251520217</v>
      </c>
      <c r="E29">
        <v>0.731638251520217</v>
      </c>
      <c r="F29">
        <v>0.75948181128981396</v>
      </c>
      <c r="G29">
        <v>0.75948181128981396</v>
      </c>
      <c r="H29">
        <v>0.75948181128981396</v>
      </c>
      <c r="I29">
        <v>0.75948181128981396</v>
      </c>
      <c r="J29">
        <v>0.75948181128981396</v>
      </c>
      <c r="K29">
        <v>0.76166261715353101</v>
      </c>
      <c r="L29">
        <v>0.76166261715353101</v>
      </c>
      <c r="M29">
        <v>0.76166261715353101</v>
      </c>
      <c r="N29">
        <v>0.76166261715353101</v>
      </c>
    </row>
    <row r="31" spans="1:14" x14ac:dyDescent="0.3">
      <c r="B31" s="3">
        <f>(B27-A21)</f>
        <v>-1.1102230246251565E-16</v>
      </c>
      <c r="C31" s="3">
        <f>(C27-A21)</f>
        <v>-1.1102230246251565E-16</v>
      </c>
      <c r="D31" s="3">
        <f>(D27-A21)</f>
        <v>-1.1102230246251565E-16</v>
      </c>
      <c r="E31" s="3">
        <f>(E27-A21)</f>
        <v>-1.1102230246251565E-16</v>
      </c>
      <c r="F31" s="3">
        <f>F27-B21</f>
        <v>0</v>
      </c>
      <c r="G31" s="3">
        <f>G27-B21</f>
        <v>0</v>
      </c>
      <c r="H31" s="3">
        <f>H27-B21</f>
        <v>0</v>
      </c>
      <c r="I31" s="3">
        <f>I27-B21</f>
        <v>0</v>
      </c>
      <c r="J31" s="3">
        <f>J27-B21</f>
        <v>0</v>
      </c>
      <c r="K31" s="3">
        <f>K27-C21</f>
        <v>0</v>
      </c>
      <c r="L31" s="3">
        <f>L27-C21</f>
        <v>0</v>
      </c>
      <c r="M31" s="3">
        <f>M27-C21</f>
        <v>0</v>
      </c>
      <c r="N31" s="3">
        <f>N27-C21</f>
        <v>0</v>
      </c>
    </row>
    <row r="32" spans="1:14" x14ac:dyDescent="0.3">
      <c r="B32" s="3">
        <f t="shared" ref="B32:B33" si="8">(B28-A22)</f>
        <v>4.4408920985006262E-16</v>
      </c>
      <c r="C32" s="3">
        <f t="shared" ref="C32:C33" si="9">(C28-A22)</f>
        <v>4.4408920985006262E-16</v>
      </c>
      <c r="D32" s="3">
        <f t="shared" ref="D32:D33" si="10">(D28-A22)</f>
        <v>4.4408920985006262E-16</v>
      </c>
      <c r="E32" s="3">
        <f t="shared" ref="E32:E33" si="11">(E28-A22)</f>
        <v>4.4408920985006262E-16</v>
      </c>
      <c r="F32" s="3">
        <f t="shared" ref="F32:F33" si="12">F28-B22</f>
        <v>0</v>
      </c>
      <c r="G32" s="3">
        <f t="shared" ref="G32:G33" si="13">G28-B22</f>
        <v>0</v>
      </c>
      <c r="H32" s="3">
        <f t="shared" ref="H32:H33" si="14">H28-B22</f>
        <v>0</v>
      </c>
      <c r="I32" s="3">
        <f t="shared" ref="I32:I33" si="15">I28-B22</f>
        <v>0</v>
      </c>
      <c r="J32" s="3">
        <f t="shared" ref="J32:K33" si="16">J28-B22</f>
        <v>0</v>
      </c>
      <c r="K32" s="3">
        <f t="shared" si="16"/>
        <v>0</v>
      </c>
      <c r="L32" s="3">
        <f t="shared" ref="L32:L33" si="17">L28-C22</f>
        <v>0</v>
      </c>
      <c r="M32" s="3">
        <f t="shared" ref="M32:M33" si="18">M28-C22</f>
        <v>0</v>
      </c>
      <c r="N32" s="3">
        <f t="shared" ref="N32:N33" si="19">N28-C22</f>
        <v>0</v>
      </c>
    </row>
    <row r="33" spans="2:14" x14ac:dyDescent="0.3">
      <c r="B33" s="3">
        <f t="shared" si="8"/>
        <v>1.1102230246251565E-16</v>
      </c>
      <c r="C33" s="3">
        <f t="shared" si="9"/>
        <v>1.1102230246251565E-16</v>
      </c>
      <c r="D33" s="3">
        <f t="shared" si="10"/>
        <v>1.1102230246251565E-16</v>
      </c>
      <c r="E33" s="3">
        <f t="shared" si="11"/>
        <v>1.1102230246251565E-16</v>
      </c>
      <c r="F33" s="3">
        <f t="shared" si="12"/>
        <v>0</v>
      </c>
      <c r="G33" s="3">
        <f t="shared" si="13"/>
        <v>0</v>
      </c>
      <c r="H33" s="3">
        <f t="shared" si="14"/>
        <v>0</v>
      </c>
      <c r="I33" s="3">
        <f t="shared" si="15"/>
        <v>0</v>
      </c>
      <c r="J33" s="3">
        <f t="shared" si="16"/>
        <v>0</v>
      </c>
      <c r="K33" s="3">
        <f t="shared" si="16"/>
        <v>0</v>
      </c>
      <c r="L33" s="3">
        <f t="shared" si="17"/>
        <v>0</v>
      </c>
      <c r="M33" s="3">
        <f t="shared" si="18"/>
        <v>0</v>
      </c>
      <c r="N33" s="3">
        <f t="shared" si="19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4C75-DAF4-4FB1-AE1E-64CB2D0482BC}">
  <dimension ref="A1:X33"/>
  <sheetViews>
    <sheetView zoomScale="78" workbookViewId="0">
      <selection sqref="A1:XFD1048576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-2</v>
      </c>
      <c r="C3" s="1">
        <v>0</v>
      </c>
      <c r="D3" s="1">
        <v>0</v>
      </c>
      <c r="F3" t="s">
        <v>2</v>
      </c>
      <c r="G3">
        <v>-2.000508398151108</v>
      </c>
      <c r="H3">
        <v>0</v>
      </c>
      <c r="I3">
        <v>0</v>
      </c>
      <c r="K3" t="s">
        <v>2</v>
      </c>
      <c r="L3">
        <v>-1.5588657265487802</v>
      </c>
      <c r="M3">
        <v>0</v>
      </c>
      <c r="N3">
        <v>0</v>
      </c>
      <c r="P3" t="s">
        <v>2</v>
      </c>
      <c r="Q3">
        <v>-1.9996736129346275</v>
      </c>
      <c r="R3">
        <v>0</v>
      </c>
      <c r="S3">
        <v>0</v>
      </c>
      <c r="U3" t="s">
        <v>2</v>
      </c>
      <c r="V3">
        <v>-1.9999996387319126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1</v>
      </c>
      <c r="D4" s="1">
        <v>0</v>
      </c>
      <c r="F4" t="s">
        <v>3</v>
      </c>
      <c r="G4">
        <v>0</v>
      </c>
      <c r="H4">
        <v>1.0053823287673456</v>
      </c>
      <c r="I4">
        <v>0</v>
      </c>
      <c r="K4" t="s">
        <v>3</v>
      </c>
      <c r="L4">
        <v>0</v>
      </c>
      <c r="M4">
        <v>0.97514373063705484</v>
      </c>
      <c r="N4">
        <v>0</v>
      </c>
      <c r="P4" t="s">
        <v>3</v>
      </c>
      <c r="Q4">
        <v>0</v>
      </c>
      <c r="R4">
        <v>1.0000073652155241</v>
      </c>
      <c r="S4">
        <v>0</v>
      </c>
      <c r="U4" t="s">
        <v>3</v>
      </c>
      <c r="V4">
        <v>0</v>
      </c>
      <c r="W4">
        <v>1.0000001120004789</v>
      </c>
      <c r="X4">
        <v>0</v>
      </c>
    </row>
    <row r="5" spans="1:24" x14ac:dyDescent="0.3">
      <c r="A5" s="1" t="s">
        <v>4</v>
      </c>
      <c r="B5" s="1">
        <v>2</v>
      </c>
      <c r="C5" s="1">
        <v>-1</v>
      </c>
      <c r="D5" s="1">
        <v>0</v>
      </c>
      <c r="F5" t="s">
        <v>4</v>
      </c>
      <c r="G5">
        <v>1.9004279608688082</v>
      </c>
      <c r="H5">
        <v>-0.99485139982935278</v>
      </c>
      <c r="I5">
        <v>0</v>
      </c>
      <c r="K5" t="s">
        <v>4</v>
      </c>
      <c r="L5">
        <v>1.1758427497500699</v>
      </c>
      <c r="M5">
        <v>-0.78670313143177995</v>
      </c>
      <c r="N5">
        <v>0</v>
      </c>
      <c r="P5" t="s">
        <v>4</v>
      </c>
      <c r="Q5">
        <v>1.9997735755025905</v>
      </c>
      <c r="R5">
        <v>-1.0000045854585977</v>
      </c>
      <c r="S5">
        <v>0</v>
      </c>
      <c r="U5" t="s">
        <v>4</v>
      </c>
      <c r="V5">
        <v>1.9999793781628195</v>
      </c>
      <c r="W5">
        <v>-0.99999313729494088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2.5846868005006938E-7</v>
      </c>
      <c r="H8">
        <f t="shared" ref="H8:I10" si="0">(H3-C3)^2</f>
        <v>0</v>
      </c>
      <c r="I8">
        <f t="shared" si="0"/>
        <v>0</v>
      </c>
      <c r="L8">
        <f>(L3-B3)^2</f>
        <v>0.19459944721333558</v>
      </c>
      <c r="M8">
        <f t="shared" ref="M8:N10" si="1">(M3-C3)^2</f>
        <v>0</v>
      </c>
      <c r="N8">
        <f t="shared" si="1"/>
        <v>0</v>
      </c>
      <c r="Q8">
        <f>(Q3-B3)^2</f>
        <v>1.0652851644245219E-7</v>
      </c>
      <c r="R8">
        <f t="shared" ref="R8:S10" si="2">(R3-C3)^2</f>
        <v>0</v>
      </c>
      <c r="S8">
        <f t="shared" si="2"/>
        <v>0</v>
      </c>
      <c r="V8">
        <f>(V3-B3)^2</f>
        <v>1.3051463100646436E-13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2.8969462959795659E-5</v>
      </c>
      <c r="I9">
        <f t="shared" si="0"/>
        <v>0</v>
      </c>
      <c r="L9">
        <f t="shared" ref="L9:L10" si="5">(L4-B4)^2</f>
        <v>0</v>
      </c>
      <c r="M9">
        <f t="shared" si="1"/>
        <v>6.1783412664328618E-4</v>
      </c>
      <c r="N9">
        <f t="shared" si="1"/>
        <v>0</v>
      </c>
      <c r="Q9">
        <f t="shared" ref="Q9:Q10" si="6">(Q4-B4)^2</f>
        <v>0</v>
      </c>
      <c r="R9">
        <f t="shared" si="2"/>
        <v>5.4246399716966469E-11</v>
      </c>
      <c r="S9">
        <f t="shared" si="2"/>
        <v>0</v>
      </c>
      <c r="V9">
        <f t="shared" ref="V9:V10" si="7">(V4-B4)^2</f>
        <v>0</v>
      </c>
      <c r="W9">
        <f t="shared" si="3"/>
        <v>1.2544107271871793E-14</v>
      </c>
      <c r="X9">
        <f t="shared" si="3"/>
        <v>0</v>
      </c>
    </row>
    <row r="10" spans="1:24" x14ac:dyDescent="0.3">
      <c r="G10">
        <f t="shared" si="4"/>
        <v>9.9145909767435984E-3</v>
      </c>
      <c r="H10">
        <f t="shared" si="0"/>
        <v>2.6508083717188602E-5</v>
      </c>
      <c r="I10">
        <f t="shared" si="0"/>
        <v>0</v>
      </c>
      <c r="L10">
        <f t="shared" si="5"/>
        <v>0.67923517313952597</v>
      </c>
      <c r="M10">
        <f t="shared" si="1"/>
        <v>4.5495554141008539E-2</v>
      </c>
      <c r="N10">
        <f t="shared" si="1"/>
        <v>0</v>
      </c>
      <c r="Q10">
        <f t="shared" si="6"/>
        <v>5.1268053027147082E-8</v>
      </c>
      <c r="R10">
        <f t="shared" si="2"/>
        <v>2.102643055137448E-11</v>
      </c>
      <c r="S10">
        <f t="shared" si="2"/>
        <v>0</v>
      </c>
      <c r="V10">
        <f t="shared" si="7"/>
        <v>4.2526016870093102E-10</v>
      </c>
      <c r="W10">
        <f t="shared" si="3"/>
        <v>4.7096720728451589E-11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9.9703269921006341E-3</v>
      </c>
      <c r="L13">
        <f>SUM(L8:N10)</f>
        <v>0.9199480086205134</v>
      </c>
      <c r="Q13">
        <f>SUM(Q8:S10)</f>
        <v>1.5787184229986762E-7</v>
      </c>
      <c r="V13">
        <f>SUM(V8:X10)</f>
        <v>4.72499948167661E-10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-0.91503956061231162</v>
      </c>
      <c r="B21">
        <v>-0.93939750483778739</v>
      </c>
      <c r="C21">
        <v>-0.93987149582793283</v>
      </c>
    </row>
    <row r="22" spans="1:14" x14ac:dyDescent="0.3">
      <c r="A22">
        <v>0.63369942739161211</v>
      </c>
      <c r="B22">
        <v>0.73320979761887684</v>
      </c>
      <c r="C22">
        <v>0.75435865952234304</v>
      </c>
    </row>
    <row r="23" spans="1:14" x14ac:dyDescent="0.3">
      <c r="A23">
        <v>-0.18253677311962271</v>
      </c>
      <c r="B23">
        <v>-0.45750707997217177</v>
      </c>
      <c r="C23">
        <v>-0.53627178895232352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-0.91503956061231195</v>
      </c>
      <c r="C27">
        <v>-0.91503956061231195</v>
      </c>
      <c r="D27">
        <v>-0.91503956061231195</v>
      </c>
      <c r="E27">
        <v>-0.91503956061231195</v>
      </c>
      <c r="F27">
        <v>-0.93939750483778695</v>
      </c>
      <c r="G27">
        <v>-0.93939750483778695</v>
      </c>
      <c r="H27">
        <v>-0.93939750483778695</v>
      </c>
      <c r="I27">
        <v>-0.93939750483778695</v>
      </c>
      <c r="J27">
        <v>-0.93939750483778695</v>
      </c>
      <c r="K27">
        <v>-0.93987149582793295</v>
      </c>
      <c r="L27">
        <v>-0.93987149582793295</v>
      </c>
      <c r="M27">
        <v>-0.93987149582793295</v>
      </c>
      <c r="N27">
        <v>-0.93987149582793295</v>
      </c>
    </row>
    <row r="28" spans="1:14" x14ac:dyDescent="0.3">
      <c r="A28" t="s">
        <v>3</v>
      </c>
      <c r="B28">
        <v>0.633699427391612</v>
      </c>
      <c r="C28">
        <v>0.633699427391612</v>
      </c>
      <c r="D28">
        <v>0.633699427391612</v>
      </c>
      <c r="E28">
        <v>0.633699427391612</v>
      </c>
      <c r="F28">
        <v>0.73320979761887695</v>
      </c>
      <c r="G28">
        <v>0.73320979761887695</v>
      </c>
      <c r="H28">
        <v>0.73320979761887695</v>
      </c>
      <c r="I28">
        <v>0.73320979761887695</v>
      </c>
      <c r="J28">
        <v>0.73320979761887695</v>
      </c>
      <c r="K28">
        <v>0.75435865952234304</v>
      </c>
      <c r="L28">
        <v>0.75435865952234304</v>
      </c>
      <c r="M28">
        <v>0.75435865952234304</v>
      </c>
      <c r="N28">
        <v>0.75435865952234304</v>
      </c>
    </row>
    <row r="29" spans="1:14" x14ac:dyDescent="0.3">
      <c r="A29" t="s">
        <v>4</v>
      </c>
      <c r="B29">
        <v>-0.18253677311962299</v>
      </c>
      <c r="C29">
        <v>-0.18253677311962299</v>
      </c>
      <c r="D29">
        <v>-0.18253677311962299</v>
      </c>
      <c r="E29">
        <v>-0.18253677311962299</v>
      </c>
      <c r="F29">
        <v>-0.45750707997217199</v>
      </c>
      <c r="G29">
        <v>-0.45750707997217199</v>
      </c>
      <c r="H29">
        <v>-0.45750707997217199</v>
      </c>
      <c r="I29">
        <v>-0.45750707997217199</v>
      </c>
      <c r="J29">
        <v>-0.45750707997217199</v>
      </c>
      <c r="K29">
        <v>-0.53627178895232397</v>
      </c>
      <c r="L29">
        <v>-0.53627178895232397</v>
      </c>
      <c r="M29">
        <v>-0.53627178895232397</v>
      </c>
      <c r="N29">
        <v>-0.53627178895232397</v>
      </c>
    </row>
    <row r="31" spans="1:14" x14ac:dyDescent="0.3">
      <c r="B31" s="4">
        <f>(B27-A21)</f>
        <v>-3.3306690738754696E-16</v>
      </c>
      <c r="C31" s="4">
        <f>(C27-A21)</f>
        <v>-3.3306690738754696E-16</v>
      </c>
      <c r="D31" s="4">
        <f>(D27-A21)</f>
        <v>-3.3306690738754696E-16</v>
      </c>
      <c r="E31" s="4">
        <f>(E27-A21)</f>
        <v>-3.3306690738754696E-16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-1.1102230246251565E-16</v>
      </c>
      <c r="C32" s="4">
        <f t="shared" ref="C32:C33" si="9">(C28-A22)</f>
        <v>-1.1102230246251565E-16</v>
      </c>
      <c r="D32" s="4">
        <f t="shared" ref="D32:D33" si="10">(D28-A22)</f>
        <v>-1.1102230246251565E-16</v>
      </c>
      <c r="E32" s="4">
        <f t="shared" ref="E32:E33" si="11">(E28-A22)</f>
        <v>-1.1102230246251565E-16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-2.7755575615628914E-16</v>
      </c>
      <c r="C33" s="4">
        <f t="shared" si="9"/>
        <v>-2.7755575615628914E-16</v>
      </c>
      <c r="D33" s="4">
        <f t="shared" si="10"/>
        <v>-2.7755575615628914E-16</v>
      </c>
      <c r="E33" s="4">
        <f t="shared" si="11"/>
        <v>-2.7755575615628914E-16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EB19-F1F4-4C59-9067-BEC60074C14A}">
  <dimension ref="A1:X33"/>
  <sheetViews>
    <sheetView zoomScale="78" workbookViewId="0">
      <selection activeCell="C8" sqref="C8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-1</v>
      </c>
      <c r="C3" s="1">
        <v>0</v>
      </c>
      <c r="D3" s="1">
        <v>0</v>
      </c>
      <c r="F3" t="s">
        <v>2</v>
      </c>
      <c r="G3">
        <v>-0.99988382745625848</v>
      </c>
      <c r="H3">
        <v>0</v>
      </c>
      <c r="I3">
        <v>0</v>
      </c>
      <c r="K3" t="s">
        <v>2</v>
      </c>
      <c r="L3">
        <v>-0.83804442068973795</v>
      </c>
      <c r="M3">
        <v>0</v>
      </c>
      <c r="N3">
        <v>0</v>
      </c>
      <c r="P3" t="s">
        <v>2</v>
      </c>
      <c r="Q3">
        <v>-0.9999793559210497</v>
      </c>
      <c r="R3">
        <v>0</v>
      </c>
      <c r="S3">
        <v>0</v>
      </c>
      <c r="U3" t="s">
        <v>2</v>
      </c>
      <c r="V3">
        <v>-0.99999992511872726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1</v>
      </c>
      <c r="D4" s="1">
        <v>0</v>
      </c>
      <c r="F4" t="s">
        <v>3</v>
      </c>
      <c r="G4">
        <v>0</v>
      </c>
      <c r="H4">
        <v>1.0006502947943188</v>
      </c>
      <c r="I4">
        <v>0</v>
      </c>
      <c r="K4" t="s">
        <v>3</v>
      </c>
      <c r="L4">
        <v>0</v>
      </c>
      <c r="M4">
        <v>0.99508486991137979</v>
      </c>
      <c r="N4">
        <v>0</v>
      </c>
      <c r="P4" t="s">
        <v>3</v>
      </c>
      <c r="Q4">
        <v>0</v>
      </c>
      <c r="R4">
        <v>0.99999269424975679</v>
      </c>
      <c r="S4">
        <v>0</v>
      </c>
      <c r="U4" t="s">
        <v>3</v>
      </c>
      <c r="V4">
        <v>0</v>
      </c>
      <c r="W4">
        <v>1.0000002875403378</v>
      </c>
      <c r="X4">
        <v>0</v>
      </c>
    </row>
    <row r="5" spans="1:24" x14ac:dyDescent="0.3">
      <c r="A5" s="1" t="s">
        <v>4</v>
      </c>
      <c r="B5" s="1">
        <v>-2</v>
      </c>
      <c r="C5" s="1">
        <v>2</v>
      </c>
      <c r="D5" s="1">
        <v>0</v>
      </c>
      <c r="F5" t="s">
        <v>4</v>
      </c>
      <c r="G5">
        <v>-1.9823247385383524</v>
      </c>
      <c r="H5">
        <v>1.9850322917123839</v>
      </c>
      <c r="I5">
        <v>0</v>
      </c>
      <c r="K5" t="s">
        <v>4</v>
      </c>
      <c r="L5">
        <v>-1.3862688090579784</v>
      </c>
      <c r="M5">
        <v>0.37826616655615419</v>
      </c>
      <c r="N5">
        <v>0</v>
      </c>
      <c r="P5" t="s">
        <v>4</v>
      </c>
      <c r="Q5">
        <v>-1.9999309300084411</v>
      </c>
      <c r="R5">
        <v>1.9999604275247194</v>
      </c>
      <c r="S5">
        <v>0</v>
      </c>
      <c r="U5" t="s">
        <v>4</v>
      </c>
      <c r="V5">
        <v>-1.9998527998352211</v>
      </c>
      <c r="W5">
        <v>1.9999317958472111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1.3496059919375784E-8</v>
      </c>
      <c r="H8">
        <f t="shared" ref="H8:I10" si="0">(H3-C3)^2</f>
        <v>0</v>
      </c>
      <c r="I8">
        <f t="shared" si="0"/>
        <v>0</v>
      </c>
      <c r="L8">
        <f>(L3-B3)^2</f>
        <v>2.6229609669722584E-2</v>
      </c>
      <c r="M8">
        <f t="shared" ref="M8:N10" si="1">(M3-C3)^2</f>
        <v>0</v>
      </c>
      <c r="N8">
        <f t="shared" si="1"/>
        <v>0</v>
      </c>
      <c r="Q8">
        <f>(Q3-B3)^2</f>
        <v>4.2617799570641957E-10</v>
      </c>
      <c r="R8">
        <f t="shared" ref="R8:S10" si="2">(R3-C3)^2</f>
        <v>0</v>
      </c>
      <c r="S8">
        <f t="shared" si="2"/>
        <v>0</v>
      </c>
      <c r="V8">
        <f>(V3-B3)^2</f>
        <v>5.6072050068665569E-15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4.2288331951809544E-7</v>
      </c>
      <c r="I9">
        <f t="shared" si="0"/>
        <v>0</v>
      </c>
      <c r="L9">
        <f t="shared" ref="L9:L10" si="5">(L4-B4)^2</f>
        <v>0</v>
      </c>
      <c r="M9">
        <f t="shared" si="1"/>
        <v>2.4158503788059733E-5</v>
      </c>
      <c r="N9">
        <f t="shared" si="1"/>
        <v>0</v>
      </c>
      <c r="Q9">
        <f t="shared" ref="Q9:Q10" si="6">(Q4-B4)^2</f>
        <v>0</v>
      </c>
      <c r="R9">
        <f t="shared" si="2"/>
        <v>5.3373986616219861E-11</v>
      </c>
      <c r="S9">
        <f t="shared" si="2"/>
        <v>0</v>
      </c>
      <c r="V9">
        <f t="shared" ref="V9:V10" si="7">(V4-B4)^2</f>
        <v>0</v>
      </c>
      <c r="W9">
        <f t="shared" si="3"/>
        <v>8.2679445840421712E-14</v>
      </c>
      <c r="X9">
        <f t="shared" si="3"/>
        <v>0</v>
      </c>
    </row>
    <row r="10" spans="1:24" x14ac:dyDescent="0.3">
      <c r="G10">
        <f t="shared" si="4"/>
        <v>3.1241486773760313E-4</v>
      </c>
      <c r="H10">
        <f t="shared" si="0"/>
        <v>2.2403229138317067E-4</v>
      </c>
      <c r="I10">
        <f t="shared" si="0"/>
        <v>0</v>
      </c>
      <c r="L10">
        <f t="shared" si="5"/>
        <v>0.3766659747351121</v>
      </c>
      <c r="M10">
        <f t="shared" si="1"/>
        <v>2.6300206265364716</v>
      </c>
      <c r="N10">
        <f t="shared" si="1"/>
        <v>0</v>
      </c>
      <c r="Q10">
        <f t="shared" si="6"/>
        <v>4.7706637339420591E-9</v>
      </c>
      <c r="R10">
        <f t="shared" si="2"/>
        <v>1.5659807998365392E-9</v>
      </c>
      <c r="S10">
        <f t="shared" si="2"/>
        <v>0</v>
      </c>
      <c r="V10">
        <f t="shared" si="7"/>
        <v>2.1667888510926836E-8</v>
      </c>
      <c r="W10">
        <f t="shared" si="3"/>
        <v>4.651806457645242E-9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5.3688353850021126E-4</v>
      </c>
      <c r="L13">
        <f>SUM(L8:N10)</f>
        <v>3.0329403694450945</v>
      </c>
      <c r="Q13">
        <f>SUM(Q8:S10)</f>
        <v>6.8161965161012379E-9</v>
      </c>
      <c r="V13">
        <f>SUM(V8:X10)</f>
        <v>2.6319783255222926E-8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-0.54237337776459882</v>
      </c>
      <c r="B21">
        <v>-0.56652723323192944</v>
      </c>
      <c r="C21">
        <v>-0.56746431720395851</v>
      </c>
    </row>
    <row r="22" spans="1:14" x14ac:dyDescent="0.3">
      <c r="A22">
        <v>0.63370582995618707</v>
      </c>
      <c r="B22">
        <v>0.73320986610298378</v>
      </c>
      <c r="C22">
        <v>0.75435864824302534</v>
      </c>
    </row>
    <row r="23" spans="1:14" x14ac:dyDescent="0.3">
      <c r="A23">
        <v>0.61901320547891325</v>
      </c>
      <c r="B23">
        <v>0.78581580144840735</v>
      </c>
      <c r="C23">
        <v>0.82005694017093833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-0.54237337776459904</v>
      </c>
      <c r="C27">
        <v>-0.54237337776459904</v>
      </c>
      <c r="D27">
        <v>-0.54237337776459904</v>
      </c>
      <c r="E27">
        <v>-0.54237337776459904</v>
      </c>
      <c r="F27">
        <v>-0.56652723323192899</v>
      </c>
      <c r="G27">
        <v>-0.56652723323192899</v>
      </c>
      <c r="H27">
        <v>-0.56652723323192899</v>
      </c>
      <c r="I27">
        <v>-0.56652723323192899</v>
      </c>
      <c r="J27">
        <v>-0.56652723323192899</v>
      </c>
      <c r="K27">
        <v>-0.56746431720395896</v>
      </c>
      <c r="L27">
        <v>-0.56746431720395896</v>
      </c>
      <c r="M27">
        <v>-0.56746431720395896</v>
      </c>
      <c r="N27">
        <v>-0.56746431720395896</v>
      </c>
    </row>
    <row r="28" spans="1:14" x14ac:dyDescent="0.3">
      <c r="A28" t="s">
        <v>3</v>
      </c>
      <c r="B28">
        <v>0.63370582995618696</v>
      </c>
      <c r="C28">
        <v>0.63370582995618696</v>
      </c>
      <c r="D28">
        <v>0.63370582995618696</v>
      </c>
      <c r="E28">
        <v>0.63370582995618696</v>
      </c>
      <c r="F28">
        <v>0.733209866102984</v>
      </c>
      <c r="G28">
        <v>0.733209866102984</v>
      </c>
      <c r="H28">
        <v>0.733209866102984</v>
      </c>
      <c r="I28">
        <v>0.733209866102984</v>
      </c>
      <c r="J28">
        <v>0.733209866102984</v>
      </c>
      <c r="K28">
        <v>0.75435864824302501</v>
      </c>
      <c r="L28">
        <v>0.75435864824302501</v>
      </c>
      <c r="M28">
        <v>0.75435864824302501</v>
      </c>
      <c r="N28">
        <v>0.75435864824302501</v>
      </c>
    </row>
    <row r="29" spans="1:14" x14ac:dyDescent="0.3">
      <c r="A29" t="s">
        <v>4</v>
      </c>
      <c r="B29">
        <v>0.61901320547891303</v>
      </c>
      <c r="C29">
        <v>0.61901320547891303</v>
      </c>
      <c r="D29">
        <v>0.61901320547891303</v>
      </c>
      <c r="E29">
        <v>0.61901320547891303</v>
      </c>
      <c r="F29">
        <v>0.78581580144840701</v>
      </c>
      <c r="G29">
        <v>0.78581580144840701</v>
      </c>
      <c r="H29">
        <v>0.78581580144840701</v>
      </c>
      <c r="I29">
        <v>0.78581580144840701</v>
      </c>
      <c r="J29">
        <v>0.78581580144840701</v>
      </c>
      <c r="K29">
        <v>0.820056940170938</v>
      </c>
      <c r="L29">
        <v>0.820056940170938</v>
      </c>
      <c r="M29">
        <v>0.820056940170938</v>
      </c>
      <c r="N29">
        <v>0.820056940170938</v>
      </c>
    </row>
    <row r="31" spans="1:14" x14ac:dyDescent="0.3">
      <c r="B31" s="4">
        <f>(B27-A21)</f>
        <v>-2.2204460492503131E-16</v>
      </c>
      <c r="C31" s="4">
        <f>(C27-A21)</f>
        <v>-2.2204460492503131E-16</v>
      </c>
      <c r="D31" s="4">
        <f>(D27-A21)</f>
        <v>-2.2204460492503131E-16</v>
      </c>
      <c r="E31" s="4">
        <f>(E27-A21)</f>
        <v>-2.2204460492503131E-16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-1.1102230246251565E-16</v>
      </c>
      <c r="C32" s="4">
        <f t="shared" ref="C32:C33" si="9">(C28-A22)</f>
        <v>-1.1102230246251565E-16</v>
      </c>
      <c r="D32" s="4">
        <f t="shared" ref="D32:D33" si="10">(D28-A22)</f>
        <v>-1.1102230246251565E-16</v>
      </c>
      <c r="E32" s="4">
        <f t="shared" ref="E32:E33" si="11">(E28-A22)</f>
        <v>-1.1102230246251565E-16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-2.2204460492503131E-16</v>
      </c>
      <c r="C33" s="4">
        <f t="shared" si="9"/>
        <v>-2.2204460492503131E-16</v>
      </c>
      <c r="D33" s="4">
        <f t="shared" si="10"/>
        <v>-2.2204460492503131E-16</v>
      </c>
      <c r="E33" s="4">
        <f t="shared" si="11"/>
        <v>-2.2204460492503131E-16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6DE2-6EF8-4630-A8FB-FB2B499297B6}">
  <dimension ref="A1:X33"/>
  <sheetViews>
    <sheetView topLeftCell="B1" zoomScale="78" workbookViewId="0">
      <selection activeCell="D15" sqref="D1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-1</v>
      </c>
      <c r="C3" s="1">
        <v>0</v>
      </c>
      <c r="D3" s="1">
        <v>0</v>
      </c>
      <c r="F3" t="s">
        <v>2</v>
      </c>
      <c r="G3">
        <v>-5.2554496107337743</v>
      </c>
      <c r="H3">
        <v>0</v>
      </c>
      <c r="I3">
        <v>0</v>
      </c>
      <c r="K3" t="s">
        <v>2</v>
      </c>
      <c r="L3">
        <v>-0.74877604515591234</v>
      </c>
      <c r="M3">
        <v>0</v>
      </c>
      <c r="N3">
        <v>0</v>
      </c>
      <c r="P3" t="s">
        <v>2</v>
      </c>
      <c r="Q3">
        <v>-0.99998979152526246</v>
      </c>
      <c r="R3">
        <v>0</v>
      </c>
      <c r="S3">
        <v>0</v>
      </c>
      <c r="U3" t="s">
        <v>2</v>
      </c>
      <c r="V3">
        <v>-0.99999988991841948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2</v>
      </c>
      <c r="D4" s="1">
        <v>0</v>
      </c>
      <c r="F4" t="s">
        <v>3</v>
      </c>
      <c r="G4">
        <v>0</v>
      </c>
      <c r="H4">
        <v>0.144636644744808</v>
      </c>
      <c r="I4">
        <v>0</v>
      </c>
      <c r="K4" t="s">
        <v>3</v>
      </c>
      <c r="L4">
        <v>0</v>
      </c>
      <c r="M4">
        <v>0.11734569778864236</v>
      </c>
      <c r="N4">
        <v>0</v>
      </c>
      <c r="P4" t="s">
        <v>3</v>
      </c>
      <c r="Q4">
        <v>0</v>
      </c>
      <c r="R4">
        <v>1.9999895145770965</v>
      </c>
      <c r="S4">
        <v>0</v>
      </c>
      <c r="U4" t="s">
        <v>3</v>
      </c>
      <c r="V4">
        <v>0</v>
      </c>
      <c r="W4">
        <v>1.999990386606306</v>
      </c>
      <c r="X4">
        <v>0</v>
      </c>
    </row>
    <row r="5" spans="1:24" x14ac:dyDescent="0.3">
      <c r="A5" s="1" t="s">
        <v>4</v>
      </c>
      <c r="B5" s="1">
        <v>-2</v>
      </c>
      <c r="C5" s="1">
        <v>1</v>
      </c>
      <c r="D5" s="1">
        <v>0</v>
      </c>
      <c r="F5" t="s">
        <v>4</v>
      </c>
      <c r="G5">
        <v>-5.763084988256141</v>
      </c>
      <c r="H5">
        <v>0.40617691544846041</v>
      </c>
      <c r="I5">
        <v>0</v>
      </c>
      <c r="K5" t="s">
        <v>4</v>
      </c>
      <c r="L5">
        <v>-1.8781142869469367</v>
      </c>
      <c r="M5">
        <v>0.41561243919722685</v>
      </c>
      <c r="N5">
        <v>0</v>
      </c>
      <c r="P5" t="s">
        <v>4</v>
      </c>
      <c r="Q5">
        <v>-1.9999732698394757</v>
      </c>
      <c r="R5">
        <v>0.99999089655992612</v>
      </c>
      <c r="S5">
        <v>0</v>
      </c>
      <c r="U5" t="s">
        <v>4</v>
      </c>
      <c r="V5">
        <v>-1.9999778118468434</v>
      </c>
      <c r="W5">
        <v>0.99999216189601337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18.10885138949423</v>
      </c>
      <c r="H8">
        <f t="shared" ref="H8:I10" si="0">(H3-C3)^2</f>
        <v>0</v>
      </c>
      <c r="I8">
        <f t="shared" si="0"/>
        <v>0</v>
      </c>
      <c r="L8">
        <f>(L3-B3)^2</f>
        <v>6.3113475487504192E-2</v>
      </c>
      <c r="M8">
        <f t="shared" ref="M8:N10" si="1">(M3-C3)^2</f>
        <v>0</v>
      </c>
      <c r="N8">
        <f t="shared" si="1"/>
        <v>0</v>
      </c>
      <c r="Q8">
        <f>(Q3-B3)^2</f>
        <v>1.0421295646696396E-10</v>
      </c>
      <c r="R8">
        <f t="shared" ref="R8:S10" si="2">(R3-C3)^2</f>
        <v>0</v>
      </c>
      <c r="S8">
        <f t="shared" si="2"/>
        <v>0</v>
      </c>
      <c r="V8">
        <f>(V3-B3)^2</f>
        <v>1.2117954369281274E-14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3.4423731800238038</v>
      </c>
      <c r="I9">
        <f t="shared" si="0"/>
        <v>0</v>
      </c>
      <c r="L9">
        <f t="shared" ref="L9:L10" si="5">(L4-B4)^2</f>
        <v>0</v>
      </c>
      <c r="M9">
        <f t="shared" si="1"/>
        <v>3.5443872216349335</v>
      </c>
      <c r="N9">
        <f t="shared" si="1"/>
        <v>0</v>
      </c>
      <c r="Q9">
        <f t="shared" ref="Q9:Q10" si="6">(Q4-B4)^2</f>
        <v>0</v>
      </c>
      <c r="R9">
        <f t="shared" si="2"/>
        <v>1.0994409346512752E-10</v>
      </c>
      <c r="S9">
        <f t="shared" si="2"/>
        <v>0</v>
      </c>
      <c r="V9">
        <f t="shared" ref="V9:V10" si="7">(V4-B4)^2</f>
        <v>0</v>
      </c>
      <c r="W9">
        <f t="shared" si="3"/>
        <v>9.2417338315564561E-11</v>
      </c>
      <c r="X9">
        <f t="shared" si="3"/>
        <v>0</v>
      </c>
    </row>
    <row r="10" spans="1:24" x14ac:dyDescent="0.3">
      <c r="G10">
        <f t="shared" si="4"/>
        <v>14.160808628838721</v>
      </c>
      <c r="H10">
        <f t="shared" si="0"/>
        <v>0.35262585574630489</v>
      </c>
      <c r="I10">
        <f t="shared" si="0"/>
        <v>0</v>
      </c>
      <c r="L10">
        <f t="shared" si="5"/>
        <v>1.4856127046453681E-2</v>
      </c>
      <c r="M10">
        <f t="shared" si="1"/>
        <v>0.34150882122101484</v>
      </c>
      <c r="N10">
        <f t="shared" si="1"/>
        <v>0</v>
      </c>
      <c r="Q10">
        <f t="shared" si="6"/>
        <v>7.1450148165732671E-10</v>
      </c>
      <c r="R10">
        <f t="shared" si="2"/>
        <v>8.2872621178661204E-11</v>
      </c>
      <c r="S10">
        <f t="shared" si="2"/>
        <v>0</v>
      </c>
      <c r="V10">
        <f t="shared" si="7"/>
        <v>4.9231414049972107E-10</v>
      </c>
      <c r="W10">
        <f t="shared" si="3"/>
        <v>6.1435874105301442E-11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36.06465905410306</v>
      </c>
      <c r="L13">
        <f>SUM(L8:N10)</f>
        <v>3.9638656453899062</v>
      </c>
      <c r="Q13">
        <f>SUM(Q8:S10)</f>
        <v>1.0115311527680793E-9</v>
      </c>
      <c r="V13">
        <f>SUM(V8:X10)</f>
        <v>6.4617947087495634E-10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-0.54224305359902092</v>
      </c>
      <c r="B21">
        <v>-0.56654145376574305</v>
      </c>
      <c r="C21">
        <v>-0.56746432904788646</v>
      </c>
    </row>
    <row r="22" spans="1:14" x14ac:dyDescent="0.3">
      <c r="A22">
        <v>0.87472277150062094</v>
      </c>
      <c r="B22">
        <v>0.96025868485356447</v>
      </c>
      <c r="C22">
        <v>0.97145734188481947</v>
      </c>
    </row>
    <row r="23" spans="1:14" x14ac:dyDescent="0.3">
      <c r="A23">
        <v>0.13290994017784885</v>
      </c>
      <c r="B23">
        <v>0.33335864718472752</v>
      </c>
      <c r="C23">
        <v>0.37371699125013358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-0.54224305359902103</v>
      </c>
      <c r="C27">
        <v>-0.54224305359902103</v>
      </c>
      <c r="D27">
        <v>-0.54224305359902103</v>
      </c>
      <c r="E27">
        <v>-0.54224305359902103</v>
      </c>
      <c r="F27">
        <v>-0.56654145376574305</v>
      </c>
      <c r="G27">
        <v>-0.56654145376574305</v>
      </c>
      <c r="H27">
        <v>-0.56654145376574305</v>
      </c>
      <c r="I27">
        <v>-0.56654145376574305</v>
      </c>
      <c r="J27">
        <v>-0.56654145376574305</v>
      </c>
      <c r="K27">
        <v>-0.56746432904788602</v>
      </c>
      <c r="L27">
        <v>-0.56746432904788602</v>
      </c>
      <c r="M27">
        <v>-0.56746432904788602</v>
      </c>
      <c r="N27">
        <v>-0.56746432904788602</v>
      </c>
    </row>
    <row r="28" spans="1:14" x14ac:dyDescent="0.3">
      <c r="A28" t="s">
        <v>3</v>
      </c>
      <c r="B28">
        <v>0.87472277150062105</v>
      </c>
      <c r="C28">
        <v>0.87472277150062105</v>
      </c>
      <c r="D28">
        <v>0.87472277150062105</v>
      </c>
      <c r="E28">
        <v>0.87472277150062105</v>
      </c>
      <c r="F28">
        <v>0.96025868485356403</v>
      </c>
      <c r="G28">
        <v>0.96025868485356403</v>
      </c>
      <c r="H28">
        <v>0.96025868485356403</v>
      </c>
      <c r="I28">
        <v>0.96025868485356403</v>
      </c>
      <c r="J28">
        <v>0.96025868485356403</v>
      </c>
      <c r="K28">
        <v>0.97145734188481903</v>
      </c>
      <c r="L28">
        <v>0.97145734188481903</v>
      </c>
      <c r="M28">
        <v>0.97145734188481903</v>
      </c>
      <c r="N28">
        <v>0.97145734188481903</v>
      </c>
    </row>
    <row r="29" spans="1:14" x14ac:dyDescent="0.3">
      <c r="A29" t="s">
        <v>4</v>
      </c>
      <c r="B29">
        <v>0.13290994017784899</v>
      </c>
      <c r="C29">
        <v>0.13290994017784899</v>
      </c>
      <c r="D29">
        <v>0.13290994017784899</v>
      </c>
      <c r="E29">
        <v>0.13290994017784899</v>
      </c>
      <c r="F29">
        <v>0.33335864718472802</v>
      </c>
      <c r="G29">
        <v>0.33335864718472802</v>
      </c>
      <c r="H29">
        <v>0.33335864718472802</v>
      </c>
      <c r="I29">
        <v>0.33335864718472802</v>
      </c>
      <c r="J29">
        <v>0.33335864718472802</v>
      </c>
      <c r="K29">
        <v>0.37371699125013402</v>
      </c>
      <c r="L29">
        <v>0.37371699125013402</v>
      </c>
      <c r="M29">
        <v>0.37371699125013402</v>
      </c>
      <c r="N29">
        <v>0.37371699125013402</v>
      </c>
    </row>
    <row r="31" spans="1:14" x14ac:dyDescent="0.3">
      <c r="B31" s="4">
        <f>(B27-A21)</f>
        <v>-1.1102230246251565E-16</v>
      </c>
      <c r="C31" s="4">
        <f>(C27-A21)</f>
        <v>-1.1102230246251565E-16</v>
      </c>
      <c r="D31" s="4">
        <f>(D27-A21)</f>
        <v>-1.1102230246251565E-16</v>
      </c>
      <c r="E31" s="4">
        <f>(E27-A21)</f>
        <v>-1.1102230246251565E-16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1.1102230246251565E-16</v>
      </c>
      <c r="C32" s="4">
        <f t="shared" ref="C32:C33" si="9">(C28-A22)</f>
        <v>1.1102230246251565E-16</v>
      </c>
      <c r="D32" s="4">
        <f t="shared" ref="D32" si="10">(D28-A22)</f>
        <v>1.1102230246251565E-16</v>
      </c>
      <c r="E32" s="4">
        <f t="shared" ref="E32:E33" si="11">(E28-A22)</f>
        <v>1.1102230246251565E-16</v>
      </c>
      <c r="F32" s="4">
        <f t="shared" ref="F32:F33" si="12">F28-B22</f>
        <v>0</v>
      </c>
      <c r="G32" s="4">
        <f t="shared" ref="G32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1.3877787807814457E-16</v>
      </c>
      <c r="C33" s="4">
        <f t="shared" si="9"/>
        <v>1.3877787807814457E-16</v>
      </c>
      <c r="D33" s="4">
        <f>(D29-A23)</f>
        <v>1.3877787807814457E-16</v>
      </c>
      <c r="E33" s="4">
        <f t="shared" si="11"/>
        <v>1.3877787807814457E-16</v>
      </c>
      <c r="F33" s="4">
        <f t="shared" si="12"/>
        <v>4.9960036108132044E-16</v>
      </c>
      <c r="G33" s="4">
        <f>G29-B23</f>
        <v>4.9960036108132044E-16</v>
      </c>
      <c r="H33" s="4">
        <f t="shared" si="14"/>
        <v>4.9960036108132044E-16</v>
      </c>
      <c r="I33" s="4">
        <f t="shared" si="15"/>
        <v>4.9960036108132044E-16</v>
      </c>
      <c r="J33" s="4">
        <f t="shared" si="16"/>
        <v>4.9960036108132044E-16</v>
      </c>
      <c r="K33" s="4">
        <f t="shared" si="16"/>
        <v>4.4408920985006262E-16</v>
      </c>
      <c r="L33" s="4">
        <f t="shared" si="17"/>
        <v>4.4408920985006262E-16</v>
      </c>
      <c r="M33" s="4">
        <f t="shared" si="18"/>
        <v>4.4408920985006262E-16</v>
      </c>
      <c r="N33" s="4">
        <f t="shared" si="19"/>
        <v>4.4408920985006262E-16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9E36-2C82-415A-B479-0F0C04CE5BF2}">
  <dimension ref="A1:X33"/>
  <sheetViews>
    <sheetView zoomScale="78" workbookViewId="0">
      <selection activeCell="U9" sqref="U9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-1</v>
      </c>
      <c r="C3" s="1">
        <v>0</v>
      </c>
      <c r="D3" s="1">
        <v>0</v>
      </c>
      <c r="F3" t="s">
        <v>2</v>
      </c>
      <c r="G3">
        <v>-0.99994047465614366</v>
      </c>
      <c r="H3">
        <v>0</v>
      </c>
      <c r="I3">
        <v>0</v>
      </c>
      <c r="K3" t="s">
        <v>2</v>
      </c>
      <c r="L3">
        <v>-0.76568113962091711</v>
      </c>
      <c r="M3">
        <v>0</v>
      </c>
      <c r="N3">
        <v>0</v>
      </c>
      <c r="P3" t="s">
        <v>2</v>
      </c>
      <c r="Q3">
        <v>-0.99984042981638854</v>
      </c>
      <c r="R3">
        <v>0</v>
      </c>
      <c r="S3">
        <v>0</v>
      </c>
      <c r="U3" t="s">
        <v>2</v>
      </c>
      <c r="V3">
        <v>-0.99999987511060551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-2</v>
      </c>
      <c r="D4" s="1">
        <v>0</v>
      </c>
      <c r="F4" t="s">
        <v>3</v>
      </c>
      <c r="G4">
        <v>0</v>
      </c>
      <c r="H4">
        <v>-1.9999881176576568</v>
      </c>
      <c r="I4">
        <v>0</v>
      </c>
      <c r="K4" t="s">
        <v>3</v>
      </c>
      <c r="L4">
        <v>0</v>
      </c>
      <c r="M4">
        <v>-1.8292290697728111</v>
      </c>
      <c r="N4">
        <v>0</v>
      </c>
      <c r="P4" t="s">
        <v>3</v>
      </c>
      <c r="Q4">
        <v>0</v>
      </c>
      <c r="R4">
        <v>-1.9996160938837335</v>
      </c>
      <c r="S4">
        <v>0</v>
      </c>
      <c r="U4" t="s">
        <v>3</v>
      </c>
      <c r="V4">
        <v>0</v>
      </c>
      <c r="W4">
        <v>-1.999999560872276</v>
      </c>
      <c r="X4">
        <v>0</v>
      </c>
    </row>
    <row r="5" spans="1:24" x14ac:dyDescent="0.3">
      <c r="A5" s="1" t="s">
        <v>4</v>
      </c>
      <c r="B5" s="1">
        <v>1</v>
      </c>
      <c r="C5" s="1">
        <v>2</v>
      </c>
      <c r="D5" s="1">
        <v>0</v>
      </c>
      <c r="F5" t="s">
        <v>4</v>
      </c>
      <c r="G5">
        <v>0.99987923662829126</v>
      </c>
      <c r="H5">
        <v>1.9998737008211007</v>
      </c>
      <c r="I5">
        <v>0</v>
      </c>
      <c r="K5" t="s">
        <v>4</v>
      </c>
      <c r="L5">
        <v>0.70353826307669121</v>
      </c>
      <c r="M5">
        <v>0.76612909957598385</v>
      </c>
      <c r="N5">
        <v>0</v>
      </c>
      <c r="P5" t="s">
        <v>4</v>
      </c>
      <c r="Q5">
        <v>0.9999259258105363</v>
      </c>
      <c r="R5">
        <v>1.9996339443810478</v>
      </c>
      <c r="S5">
        <v>0</v>
      </c>
      <c r="U5" t="s">
        <v>4</v>
      </c>
      <c r="V5">
        <v>0.99999907948394129</v>
      </c>
      <c r="W5">
        <v>1.9999989839469705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3.543266561215158E-9</v>
      </c>
      <c r="H8">
        <f t="shared" ref="H8:I10" si="0">(H3-C3)^2</f>
        <v>0</v>
      </c>
      <c r="I8">
        <f t="shared" si="0"/>
        <v>0</v>
      </c>
      <c r="L8">
        <f>(L3-B3)^2</f>
        <v>5.4905328329352146E-2</v>
      </c>
      <c r="M8">
        <f t="shared" ref="M8:N10" si="1">(M3-C3)^2</f>
        <v>0</v>
      </c>
      <c r="N8">
        <f t="shared" si="1"/>
        <v>0</v>
      </c>
      <c r="Q8">
        <f>(Q3-B3)^2</f>
        <v>2.5462643497794146E-8</v>
      </c>
      <c r="R8">
        <f t="shared" ref="R8:S10" si="2">(R3-C3)^2</f>
        <v>0</v>
      </c>
      <c r="S8">
        <f t="shared" si="2"/>
        <v>0</v>
      </c>
      <c r="V8">
        <f>(V3-B3)^2</f>
        <v>1.559736085676153E-14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1.4119005956034835E-10</v>
      </c>
      <c r="I9">
        <f t="shared" si="0"/>
        <v>0</v>
      </c>
      <c r="L9">
        <f t="shared" ref="L9:L10" si="5">(L4-B4)^2</f>
        <v>0</v>
      </c>
      <c r="M9">
        <f t="shared" si="1"/>
        <v>2.9162710610659427E-2</v>
      </c>
      <c r="N9">
        <f t="shared" si="1"/>
        <v>0</v>
      </c>
      <c r="Q9">
        <f t="shared" ref="Q9:Q10" si="6">(Q4-B4)^2</f>
        <v>0</v>
      </c>
      <c r="R9">
        <f t="shared" si="2"/>
        <v>1.4738390610681657E-7</v>
      </c>
      <c r="S9">
        <f t="shared" si="2"/>
        <v>0</v>
      </c>
      <c r="V9">
        <f t="shared" ref="V9:V10" si="7">(V4-B4)^2</f>
        <v>0</v>
      </c>
      <c r="W9">
        <f t="shared" si="3"/>
        <v>1.9283315795139958E-13</v>
      </c>
      <c r="X9">
        <f t="shared" si="3"/>
        <v>0</v>
      </c>
    </row>
    <row r="10" spans="1:24" x14ac:dyDescent="0.3">
      <c r="G10">
        <f t="shared" si="4"/>
        <v>1.4583791946464047E-8</v>
      </c>
      <c r="H10">
        <f t="shared" si="0"/>
        <v>1.5951482590632501E-8</v>
      </c>
      <c r="I10">
        <f t="shared" si="0"/>
        <v>0</v>
      </c>
      <c r="L10">
        <f t="shared" si="5"/>
        <v>8.7889561459585153E-2</v>
      </c>
      <c r="M10">
        <f t="shared" si="1"/>
        <v>1.5224373989131728</v>
      </c>
      <c r="N10">
        <f t="shared" si="1"/>
        <v>0</v>
      </c>
      <c r="Q10">
        <f t="shared" si="6"/>
        <v>5.4869855447044254E-9</v>
      </c>
      <c r="R10">
        <f t="shared" si="2"/>
        <v>1.3399671616647756E-7</v>
      </c>
      <c r="S10">
        <f t="shared" si="2"/>
        <v>0</v>
      </c>
      <c r="V10">
        <f t="shared" si="7"/>
        <v>8.473498143450714E-13</v>
      </c>
      <c r="W10">
        <f t="shared" si="3"/>
        <v>1.0323637587358845E-12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3.4219731157872054E-8</v>
      </c>
      <c r="L13">
        <f>SUM(L8:N10)</f>
        <v>1.6943949993127694</v>
      </c>
      <c r="Q13">
        <f>SUM(Q8:S10)</f>
        <v>3.1233025131579268E-7</v>
      </c>
      <c r="V13">
        <f>SUM(V8:X10)</f>
        <v>2.0881440918891168E-12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-0.54229869466820646</v>
      </c>
      <c r="B21">
        <v>-0.56653257722163564</v>
      </c>
      <c r="C21">
        <v>-0.56746432528354329</v>
      </c>
    </row>
    <row r="22" spans="1:14" x14ac:dyDescent="0.3">
      <c r="A22">
        <v>-0.91503904625487287</v>
      </c>
      <c r="B22">
        <v>-0.93939713925239277</v>
      </c>
      <c r="C22">
        <v>-0.93987149658226965</v>
      </c>
    </row>
    <row r="23" spans="1:14" x14ac:dyDescent="0.3">
      <c r="A23">
        <v>0.73163825152021689</v>
      </c>
      <c r="B23">
        <v>0.75948181128981407</v>
      </c>
      <c r="C23">
        <v>0.76166261715353101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-0.54229869466820602</v>
      </c>
      <c r="C27">
        <v>-0.54229869466820602</v>
      </c>
      <c r="D27">
        <v>-0.54229869466820602</v>
      </c>
      <c r="E27">
        <v>-0.54229869466820602</v>
      </c>
      <c r="F27">
        <v>-0.56653257722163597</v>
      </c>
      <c r="G27">
        <v>-0.56653257722163597</v>
      </c>
      <c r="H27">
        <v>-0.56653257722163597</v>
      </c>
      <c r="I27">
        <v>-0.56653257722163597</v>
      </c>
      <c r="J27">
        <v>-0.56653257722163597</v>
      </c>
      <c r="K27">
        <v>-0.56746432528354296</v>
      </c>
      <c r="L27">
        <v>-0.56746432528354296</v>
      </c>
      <c r="M27">
        <v>-0.56746432528354296</v>
      </c>
      <c r="N27">
        <v>-0.56746432528354296</v>
      </c>
    </row>
    <row r="28" spans="1:14" x14ac:dyDescent="0.3">
      <c r="A28" t="s">
        <v>3</v>
      </c>
      <c r="B28">
        <v>-0.91503904625487298</v>
      </c>
      <c r="C28">
        <v>-0.91503904625487298</v>
      </c>
      <c r="D28">
        <v>-0.91503904625487298</v>
      </c>
      <c r="E28">
        <v>-0.91503904625487298</v>
      </c>
      <c r="F28">
        <v>-0.93939713925239299</v>
      </c>
      <c r="G28">
        <v>-0.93939713925239299</v>
      </c>
      <c r="H28">
        <v>-0.93939713925239299</v>
      </c>
      <c r="I28">
        <v>-0.93939713925239299</v>
      </c>
      <c r="J28">
        <v>-0.93939713925239299</v>
      </c>
      <c r="K28">
        <v>-0.93987149658226998</v>
      </c>
      <c r="L28">
        <v>-0.93987149658226998</v>
      </c>
      <c r="M28">
        <v>-0.93987149658226998</v>
      </c>
      <c r="N28">
        <v>-0.93987149658226998</v>
      </c>
    </row>
    <row r="29" spans="1:14" x14ac:dyDescent="0.3">
      <c r="A29" t="s">
        <v>4</v>
      </c>
      <c r="B29">
        <v>0.731638251520217</v>
      </c>
      <c r="C29">
        <v>0.731638251520217</v>
      </c>
      <c r="D29">
        <v>0.731638251520217</v>
      </c>
      <c r="E29">
        <v>0.731638251520217</v>
      </c>
      <c r="F29">
        <v>0.75948181128981396</v>
      </c>
      <c r="G29">
        <v>0.75948181128981396</v>
      </c>
      <c r="H29">
        <v>0.75948181128981396</v>
      </c>
      <c r="I29">
        <v>0.75948181128981396</v>
      </c>
      <c r="J29">
        <v>0.75948181128981396</v>
      </c>
      <c r="K29">
        <v>0.76166261715353101</v>
      </c>
      <c r="L29">
        <v>0.76166261715353101</v>
      </c>
      <c r="M29">
        <v>0.76166261715353101</v>
      </c>
      <c r="N29">
        <v>0.76166261715353101</v>
      </c>
    </row>
    <row r="31" spans="1:14" x14ac:dyDescent="0.3">
      <c r="B31" s="4">
        <f>(B27-A21)</f>
        <v>4.4408920985006262E-16</v>
      </c>
      <c r="C31" s="4">
        <f>(C27-A21)</f>
        <v>4.4408920985006262E-16</v>
      </c>
      <c r="D31" s="4">
        <f>(D27-A21)</f>
        <v>4.4408920985006262E-16</v>
      </c>
      <c r="E31" s="4">
        <f>(E27-A21)</f>
        <v>4.4408920985006262E-16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-1.1102230246251565E-16</v>
      </c>
      <c r="C32" s="4">
        <f t="shared" ref="C32:C33" si="9">(C28-A22)</f>
        <v>-1.1102230246251565E-16</v>
      </c>
      <c r="D32" s="4">
        <f t="shared" ref="D32:D33" si="10">(D28-A22)</f>
        <v>-1.1102230246251565E-16</v>
      </c>
      <c r="E32" s="4">
        <f t="shared" ref="E32:E33" si="11">(E28-A22)</f>
        <v>-1.1102230246251565E-16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1.1102230246251565E-16</v>
      </c>
      <c r="C33" s="4">
        <f t="shared" si="9"/>
        <v>1.1102230246251565E-16</v>
      </c>
      <c r="D33" s="4">
        <f t="shared" si="10"/>
        <v>1.1102230246251565E-16</v>
      </c>
      <c r="E33" s="4">
        <f t="shared" si="11"/>
        <v>1.1102230246251565E-16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0565-C837-4838-B809-6D134A903C4D}">
  <dimension ref="A1:X33"/>
  <sheetViews>
    <sheetView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-1</v>
      </c>
      <c r="C3" s="1">
        <v>0</v>
      </c>
      <c r="D3" s="1">
        <v>0</v>
      </c>
      <c r="F3" t="s">
        <v>2</v>
      </c>
      <c r="G3">
        <v>-5.759587596128128</v>
      </c>
      <c r="H3">
        <v>0</v>
      </c>
      <c r="I3">
        <v>0</v>
      </c>
      <c r="K3" t="s">
        <v>2</v>
      </c>
      <c r="L3">
        <v>-0.745740325907436</v>
      </c>
      <c r="M3">
        <v>0</v>
      </c>
      <c r="N3">
        <v>0</v>
      </c>
      <c r="P3" t="s">
        <v>2</v>
      </c>
      <c r="Q3">
        <v>-0.99999360642717294</v>
      </c>
      <c r="R3">
        <v>0</v>
      </c>
      <c r="S3">
        <v>0</v>
      </c>
      <c r="U3" t="s">
        <v>2</v>
      </c>
      <c r="V3">
        <v>-0.99999994865057906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2</v>
      </c>
      <c r="D4" s="1">
        <v>0</v>
      </c>
      <c r="F4" t="s">
        <v>3</v>
      </c>
      <c r="G4">
        <v>0</v>
      </c>
      <c r="H4">
        <v>2.0276641527459915</v>
      </c>
      <c r="I4">
        <v>0</v>
      </c>
      <c r="K4" t="s">
        <v>3</v>
      </c>
      <c r="L4">
        <v>0</v>
      </c>
      <c r="M4">
        <v>2.0872770308477637</v>
      </c>
      <c r="N4">
        <v>0</v>
      </c>
      <c r="P4" t="s">
        <v>3</v>
      </c>
      <c r="Q4">
        <v>0</v>
      </c>
      <c r="R4">
        <v>1.9999911592578399</v>
      </c>
      <c r="S4">
        <v>0</v>
      </c>
      <c r="U4" t="s">
        <v>3</v>
      </c>
      <c r="V4">
        <v>0</v>
      </c>
      <c r="W4">
        <v>1.9999910647459629</v>
      </c>
      <c r="X4">
        <v>0</v>
      </c>
    </row>
    <row r="5" spans="1:24" x14ac:dyDescent="0.3">
      <c r="A5" s="1" t="s">
        <v>4</v>
      </c>
      <c r="B5" s="1">
        <v>1</v>
      </c>
      <c r="C5" s="1">
        <v>-2</v>
      </c>
      <c r="D5" s="1">
        <v>0</v>
      </c>
      <c r="F5" t="s">
        <v>4</v>
      </c>
      <c r="G5">
        <v>1.8193299142174044</v>
      </c>
      <c r="H5">
        <v>-2.1331872644424004</v>
      </c>
      <c r="I5">
        <v>0</v>
      </c>
      <c r="K5" t="s">
        <v>4</v>
      </c>
      <c r="L5">
        <v>0.52774208189818361</v>
      </c>
      <c r="M5">
        <v>-1.9631139701459048</v>
      </c>
      <c r="N5">
        <v>0</v>
      </c>
      <c r="P5" t="s">
        <v>4</v>
      </c>
      <c r="Q5">
        <v>0.99999341260673491</v>
      </c>
      <c r="R5">
        <v>-1.9999976070212453</v>
      </c>
      <c r="S5">
        <v>0</v>
      </c>
      <c r="U5" t="s">
        <v>4</v>
      </c>
      <c r="V5">
        <v>0.99998925794161397</v>
      </c>
      <c r="W5">
        <v>-1.9999969117973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22.653674085216732</v>
      </c>
      <c r="H8">
        <f t="shared" ref="H8:I10" si="0">(H3-C3)^2</f>
        <v>0</v>
      </c>
      <c r="I8">
        <f t="shared" si="0"/>
        <v>0</v>
      </c>
      <c r="L8">
        <f>(L3-B3)^2</f>
        <v>6.4647981869656868E-2</v>
      </c>
      <c r="M8">
        <f t="shared" ref="M8:N10" si="1">(M3-C3)^2</f>
        <v>0</v>
      </c>
      <c r="N8">
        <f t="shared" si="1"/>
        <v>0</v>
      </c>
      <c r="Q8">
        <f>(Q3-B3)^2</f>
        <v>4.0877773494881545E-11</v>
      </c>
      <c r="R8">
        <f t="shared" ref="R8:S10" si="2">(R3-C3)^2</f>
        <v>0</v>
      </c>
      <c r="S8">
        <f t="shared" si="2"/>
        <v>0</v>
      </c>
      <c r="V8">
        <f>(V3-B3)^2</f>
        <v>2.636763030620765E-15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7.6530534715355143E-4</v>
      </c>
      <c r="I9">
        <f t="shared" si="0"/>
        <v>0</v>
      </c>
      <c r="L9">
        <f t="shared" ref="L9:L10" si="5">(L4-B4)^2</f>
        <v>0</v>
      </c>
      <c r="M9">
        <f t="shared" si="1"/>
        <v>7.6172801136015012E-3</v>
      </c>
      <c r="N9">
        <f t="shared" si="1"/>
        <v>0</v>
      </c>
      <c r="Q9">
        <f t="shared" ref="Q9:Q10" si="6">(Q4-B4)^2</f>
        <v>0</v>
      </c>
      <c r="R9">
        <f t="shared" si="2"/>
        <v>7.8158721941742617E-11</v>
      </c>
      <c r="S9">
        <f t="shared" si="2"/>
        <v>0</v>
      </c>
      <c r="V9">
        <f t="shared" ref="V9:V10" si="7">(V4-B4)^2</f>
        <v>0</v>
      </c>
      <c r="W9">
        <f t="shared" si="3"/>
        <v>7.9838764707732943E-11</v>
      </c>
      <c r="X9">
        <f t="shared" si="3"/>
        <v>0</v>
      </c>
    </row>
    <row r="10" spans="1:24" x14ac:dyDescent="0.3">
      <c r="G10">
        <f t="shared" si="4"/>
        <v>0.67130150833149926</v>
      </c>
      <c r="H10">
        <f t="shared" si="0"/>
        <v>1.7738847409649885E-2</v>
      </c>
      <c r="I10">
        <f t="shared" si="0"/>
        <v>0</v>
      </c>
      <c r="L10">
        <f t="shared" si="5"/>
        <v>0.2230275412098619</v>
      </c>
      <c r="M10">
        <f t="shared" si="1"/>
        <v>1.3605791983972001E-3</v>
      </c>
      <c r="N10">
        <f t="shared" si="1"/>
        <v>0</v>
      </c>
      <c r="Q10">
        <f t="shared" si="6"/>
        <v>4.3393750028946544E-11</v>
      </c>
      <c r="R10">
        <f t="shared" si="2"/>
        <v>5.7263473204748574E-12</v>
      </c>
      <c r="S10">
        <f t="shared" si="2"/>
        <v>0</v>
      </c>
      <c r="V10">
        <f t="shared" si="7"/>
        <v>1.1539181836879721E-10</v>
      </c>
      <c r="W10">
        <f t="shared" si="3"/>
        <v>9.5369959163358941E-12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23.343479746305036</v>
      </c>
      <c r="L13">
        <f>SUM(L8:N10)</f>
        <v>0.29665338239151751</v>
      </c>
      <c r="Q13">
        <f>SUM(Q8:S10)</f>
        <v>1.6815659278604556E-10</v>
      </c>
      <c r="V13">
        <f>SUM(V8:X10)</f>
        <v>2.0477021575589668E-10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-0.5422887431838499</v>
      </c>
      <c r="B21">
        <v>-0.56653031307964352</v>
      </c>
      <c r="C21">
        <v>-0.56746431755610804</v>
      </c>
    </row>
    <row r="22" spans="1:14" x14ac:dyDescent="0.3">
      <c r="A22">
        <v>0.87474027275418798</v>
      </c>
      <c r="B22">
        <v>0.9602545352286338</v>
      </c>
      <c r="C22">
        <v>0.97145730593547042</v>
      </c>
    </row>
    <row r="23" spans="1:14" x14ac:dyDescent="0.3">
      <c r="A23">
        <v>-2.0997422140723034</v>
      </c>
      <c r="B23">
        <v>-3.3840198177525171</v>
      </c>
      <c r="C23">
        <v>-3.7334985538781811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-0.54228874318385001</v>
      </c>
      <c r="C27">
        <v>-0.54228874318385001</v>
      </c>
      <c r="D27">
        <v>-0.54228874318385001</v>
      </c>
      <c r="E27">
        <v>-0.54228874318385001</v>
      </c>
      <c r="F27">
        <v>-0.56653031307964397</v>
      </c>
      <c r="G27">
        <v>-0.56653031307964397</v>
      </c>
      <c r="H27">
        <v>-0.56653031307964397</v>
      </c>
      <c r="I27">
        <v>-0.56653031307964397</v>
      </c>
      <c r="J27">
        <v>-0.56653031307964397</v>
      </c>
      <c r="K27">
        <v>-0.56746431755610804</v>
      </c>
      <c r="L27">
        <v>-0.56746431755610804</v>
      </c>
      <c r="M27">
        <v>-0.56746431755610804</v>
      </c>
      <c r="N27">
        <v>-0.56746431755610804</v>
      </c>
    </row>
    <row r="28" spans="1:14" x14ac:dyDescent="0.3">
      <c r="A28" t="s">
        <v>3</v>
      </c>
      <c r="B28">
        <v>0.87474027275418798</v>
      </c>
      <c r="C28">
        <v>0.87474027275418798</v>
      </c>
      <c r="D28">
        <v>0.87474027275418798</v>
      </c>
      <c r="E28">
        <v>0.87474027275418798</v>
      </c>
      <c r="F28">
        <v>0.96025453522863402</v>
      </c>
      <c r="G28">
        <v>0.96025453522863402</v>
      </c>
      <c r="H28">
        <v>0.96025453522863402</v>
      </c>
      <c r="I28">
        <v>0.96025453522863402</v>
      </c>
      <c r="J28">
        <v>0.96025453522863402</v>
      </c>
      <c r="K28">
        <v>0.97145730593546997</v>
      </c>
      <c r="L28">
        <v>0.97145730593546997</v>
      </c>
      <c r="M28">
        <v>0.97145730593546997</v>
      </c>
      <c r="N28">
        <v>0.97145730593546997</v>
      </c>
    </row>
    <row r="29" spans="1:14" x14ac:dyDescent="0.3">
      <c r="A29" t="s">
        <v>4</v>
      </c>
      <c r="B29">
        <v>-2.0997422140722999</v>
      </c>
      <c r="C29">
        <v>-2.0997422140722999</v>
      </c>
      <c r="D29">
        <v>-2.0997422140722999</v>
      </c>
      <c r="E29">
        <v>-2.0997422140722999</v>
      </c>
      <c r="F29">
        <v>-3.3840198177525198</v>
      </c>
      <c r="G29">
        <v>-3.3840198177525198</v>
      </c>
      <c r="H29">
        <v>-3.3840198177525198</v>
      </c>
      <c r="I29">
        <v>-3.3840198177525198</v>
      </c>
      <c r="J29">
        <v>-3.3840198177525198</v>
      </c>
      <c r="K29">
        <v>-3.7334985538781802</v>
      </c>
      <c r="L29">
        <v>-3.7334985538781802</v>
      </c>
      <c r="M29">
        <v>-3.7334985538781802</v>
      </c>
      <c r="N29">
        <v>-3.7334985538781802</v>
      </c>
    </row>
    <row r="31" spans="1:14" x14ac:dyDescent="0.3">
      <c r="B31" s="4">
        <f>(B27-A21)</f>
        <v>-1.1102230246251565E-16</v>
      </c>
      <c r="C31" s="4">
        <f>(C27-A21)</f>
        <v>-1.1102230246251565E-16</v>
      </c>
      <c r="D31" s="4">
        <f>(D27-A21)</f>
        <v>-1.1102230246251565E-16</v>
      </c>
      <c r="E31" s="4">
        <f>(E27-A21)</f>
        <v>-1.1102230246251565E-16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0</v>
      </c>
      <c r="C32" s="4">
        <f t="shared" ref="C32:C33" si="9">(C28-A22)</f>
        <v>0</v>
      </c>
      <c r="D32" s="4">
        <f t="shared" ref="D32:D33" si="10">(D28-A22)</f>
        <v>0</v>
      </c>
      <c r="E32" s="4">
        <f t="shared" ref="E32:E33" si="11">(E28-A22)</f>
        <v>0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3.5527136788005009E-15</v>
      </c>
      <c r="C33" s="4">
        <f t="shared" si="9"/>
        <v>3.5527136788005009E-15</v>
      </c>
      <c r="D33" s="4">
        <f t="shared" si="10"/>
        <v>3.5527136788005009E-15</v>
      </c>
      <c r="E33" s="4">
        <f t="shared" si="11"/>
        <v>3.5527136788005009E-15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8159-5AF1-4A80-9EEF-D10347A1957A}">
  <dimension ref="A1:X33"/>
  <sheetViews>
    <sheetView topLeftCell="N1" zoomScale="78" workbookViewId="0">
      <selection activeCell="A2" sqref="A2:D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-1</v>
      </c>
      <c r="C3" s="1">
        <v>0</v>
      </c>
      <c r="D3" s="1">
        <v>0</v>
      </c>
      <c r="F3" t="s">
        <v>2</v>
      </c>
      <c r="G3">
        <v>-0.99993541253459584</v>
      </c>
      <c r="H3">
        <v>0</v>
      </c>
      <c r="I3">
        <v>0</v>
      </c>
      <c r="K3" t="s">
        <v>2</v>
      </c>
      <c r="L3">
        <v>-0.86140621488299929</v>
      </c>
      <c r="M3">
        <v>0</v>
      </c>
      <c r="N3">
        <v>0</v>
      </c>
      <c r="P3" t="s">
        <v>2</v>
      </c>
      <c r="Q3">
        <v>-0.99985761066077905</v>
      </c>
      <c r="R3">
        <v>0</v>
      </c>
      <c r="S3">
        <v>0</v>
      </c>
      <c r="U3" t="s">
        <v>2</v>
      </c>
      <c r="V3">
        <v>-0.99999985869683083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-2</v>
      </c>
      <c r="D4" s="1">
        <v>0</v>
      </c>
      <c r="F4" t="s">
        <v>3</v>
      </c>
      <c r="G4">
        <v>0</v>
      </c>
      <c r="H4">
        <v>-1.9999999099262264</v>
      </c>
      <c r="I4">
        <v>0</v>
      </c>
      <c r="K4" t="s">
        <v>3</v>
      </c>
      <c r="L4">
        <v>0</v>
      </c>
      <c r="M4">
        <v>-1.7762403869615642</v>
      </c>
      <c r="N4">
        <v>0</v>
      </c>
      <c r="P4" t="s">
        <v>3</v>
      </c>
      <c r="Q4">
        <v>0</v>
      </c>
      <c r="R4">
        <v>-1.9996582185642331</v>
      </c>
      <c r="S4">
        <v>0</v>
      </c>
      <c r="U4" t="s">
        <v>3</v>
      </c>
      <c r="V4">
        <v>0</v>
      </c>
      <c r="W4">
        <v>-1.9999996146592971</v>
      </c>
      <c r="X4">
        <v>0</v>
      </c>
    </row>
    <row r="5" spans="1:24" x14ac:dyDescent="0.3">
      <c r="A5" s="1" t="s">
        <v>4</v>
      </c>
      <c r="B5" s="1">
        <v>2</v>
      </c>
      <c r="C5" s="1">
        <v>1</v>
      </c>
      <c r="D5" s="1">
        <v>0</v>
      </c>
      <c r="F5" t="s">
        <v>4</v>
      </c>
      <c r="G5">
        <v>1.9998456940082603</v>
      </c>
      <c r="H5">
        <v>0.99990544246350488</v>
      </c>
      <c r="I5">
        <v>0</v>
      </c>
      <c r="K5" t="s">
        <v>4</v>
      </c>
      <c r="L5">
        <v>0.62444188771216647</v>
      </c>
      <c r="M5">
        <v>0.127723086067</v>
      </c>
      <c r="N5">
        <v>0</v>
      </c>
      <c r="P5" t="s">
        <v>4</v>
      </c>
      <c r="Q5">
        <v>1.9997200201559653</v>
      </c>
      <c r="R5">
        <v>0.9999112630641469</v>
      </c>
      <c r="S5">
        <v>0</v>
      </c>
      <c r="U5" t="s">
        <v>4</v>
      </c>
      <c r="V5">
        <v>1.9999987025727306</v>
      </c>
      <c r="W5">
        <v>0.99999916202346562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4.1715406873341452E-9</v>
      </c>
      <c r="H8">
        <f t="shared" ref="H8:I10" si="0">(H3-C3)^2</f>
        <v>0</v>
      </c>
      <c r="I8">
        <f t="shared" si="0"/>
        <v>0</v>
      </c>
      <c r="L8">
        <f>(L3-B3)^2</f>
        <v>1.9208237273057368E-2</v>
      </c>
      <c r="M8">
        <f t="shared" ref="M8:N10" si="1">(M3-C3)^2</f>
        <v>0</v>
      </c>
      <c r="N8">
        <f t="shared" si="1"/>
        <v>0</v>
      </c>
      <c r="Q8">
        <f>(Q3-B3)^2</f>
        <v>2.0274723923778671E-8</v>
      </c>
      <c r="R8">
        <f t="shared" ref="R8:S10" si="2">(R3-C3)^2</f>
        <v>0</v>
      </c>
      <c r="S8">
        <f t="shared" si="2"/>
        <v>0</v>
      </c>
      <c r="V8">
        <f>(V3-B3)^2</f>
        <v>1.9966585616212908E-14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8.1132846817113059E-15</v>
      </c>
      <c r="I9">
        <f t="shared" si="0"/>
        <v>0</v>
      </c>
      <c r="L9">
        <f t="shared" ref="L9:L10" si="5">(L4-B4)^2</f>
        <v>0</v>
      </c>
      <c r="M9">
        <f t="shared" si="1"/>
        <v>5.0068364427110545E-2</v>
      </c>
      <c r="N9">
        <f t="shared" si="1"/>
        <v>0</v>
      </c>
      <c r="Q9">
        <f t="shared" ref="Q9:Q10" si="6">(Q4-B4)^2</f>
        <v>0</v>
      </c>
      <c r="R9">
        <f t="shared" si="2"/>
        <v>1.1681454983488906E-7</v>
      </c>
      <c r="S9">
        <f t="shared" si="2"/>
        <v>0</v>
      </c>
      <c r="V9">
        <f t="shared" ref="V9:V10" si="7">(V4-B4)^2</f>
        <v>0</v>
      </c>
      <c r="W9">
        <f t="shared" si="3"/>
        <v>1.484874573129848E-13</v>
      </c>
      <c r="X9">
        <f t="shared" si="3"/>
        <v>0</v>
      </c>
    </row>
    <row r="10" spans="1:24" x14ac:dyDescent="0.3">
      <c r="G10">
        <f t="shared" si="4"/>
        <v>2.3810339086775946E-8</v>
      </c>
      <c r="H10">
        <f t="shared" si="0"/>
        <v>8.9411277080261813E-9</v>
      </c>
      <c r="I10">
        <f t="shared" si="0"/>
        <v>0</v>
      </c>
      <c r="L10">
        <f t="shared" si="5"/>
        <v>1.892160120280868</v>
      </c>
      <c r="M10">
        <f t="shared" si="1"/>
        <v>0.76086701458047834</v>
      </c>
      <c r="N10">
        <f t="shared" si="1"/>
        <v>0</v>
      </c>
      <c r="Q10">
        <f t="shared" si="6"/>
        <v>7.8388713065704325E-8</v>
      </c>
      <c r="R10">
        <f t="shared" si="2"/>
        <v>7.8742437845963666E-9</v>
      </c>
      <c r="S10">
        <f t="shared" si="2"/>
        <v>0</v>
      </c>
      <c r="V10">
        <f t="shared" si="7"/>
        <v>1.6833175193768861E-12</v>
      </c>
      <c r="W10">
        <f t="shared" si="3"/>
        <v>7.0220467217933476E-13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3.6923015595420957E-8</v>
      </c>
      <c r="L13">
        <f>SUM(L8:N10)</f>
        <v>2.7223037365615141</v>
      </c>
      <c r="Q13">
        <f>SUM(Q8:S10)</f>
        <v>2.233522306089684E-7</v>
      </c>
      <c r="V13">
        <f>SUM(V8:X10)</f>
        <v>2.5539762344854189E-12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-0.54232860789257165</v>
      </c>
      <c r="B21">
        <v>-0.56653111715738591</v>
      </c>
      <c r="C21">
        <v>-0.56746431968844069</v>
      </c>
    </row>
    <row r="22" spans="1:14" x14ac:dyDescent="0.3">
      <c r="A22">
        <v>0.63370222460025816</v>
      </c>
      <c r="B22">
        <v>0.73321097700310767</v>
      </c>
      <c r="C22">
        <v>0.75435865536730051</v>
      </c>
    </row>
    <row r="23" spans="1:14" x14ac:dyDescent="0.3">
      <c r="A23">
        <v>-1.1076452226178288</v>
      </c>
      <c r="B23">
        <v>-1.8582829639270291</v>
      </c>
      <c r="C23">
        <v>-2.0929935522102325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-0.54229869466820602</v>
      </c>
      <c r="C27">
        <v>-0.54229869466820602</v>
      </c>
      <c r="D27">
        <v>-0.54229869466820602</v>
      </c>
      <c r="E27">
        <v>-0.54229869466820602</v>
      </c>
      <c r="F27">
        <v>-0.56653257722163597</v>
      </c>
      <c r="G27">
        <v>-0.56653257722163597</v>
      </c>
      <c r="H27">
        <v>-0.56653257722163597</v>
      </c>
      <c r="I27">
        <v>-0.56653257722163597</v>
      </c>
      <c r="J27">
        <v>-0.56653257722163597</v>
      </c>
      <c r="K27">
        <v>-0.56746432528354296</v>
      </c>
      <c r="L27">
        <v>-0.56746432528354296</v>
      </c>
      <c r="M27">
        <v>-0.56746432528354296</v>
      </c>
      <c r="N27">
        <v>-0.56746432528354296</v>
      </c>
    </row>
    <row r="28" spans="1:14" x14ac:dyDescent="0.3">
      <c r="A28" t="s">
        <v>3</v>
      </c>
      <c r="B28">
        <v>-0.91503904625487298</v>
      </c>
      <c r="C28">
        <v>-0.91503904625487298</v>
      </c>
      <c r="D28">
        <v>-0.91503904625487298</v>
      </c>
      <c r="E28">
        <v>-0.91503904625487298</v>
      </c>
      <c r="F28">
        <v>-0.93939713925239299</v>
      </c>
      <c r="G28">
        <v>-0.93939713925239299</v>
      </c>
      <c r="H28">
        <v>-0.93939713925239299</v>
      </c>
      <c r="I28">
        <v>-0.93939713925239299</v>
      </c>
      <c r="J28">
        <v>-0.93939713925239299</v>
      </c>
      <c r="K28">
        <v>-0.93987149658226998</v>
      </c>
      <c r="L28">
        <v>-0.93987149658226998</v>
      </c>
      <c r="M28">
        <v>-0.93987149658226998</v>
      </c>
      <c r="N28">
        <v>-0.93987149658226998</v>
      </c>
    </row>
    <row r="29" spans="1:14" x14ac:dyDescent="0.3">
      <c r="A29" t="s">
        <v>4</v>
      </c>
      <c r="B29">
        <v>0.75658599700534401</v>
      </c>
      <c r="C29">
        <v>0.75658599700534401</v>
      </c>
      <c r="D29">
        <v>0.75658599700534401</v>
      </c>
      <c r="E29">
        <v>0.75658599700534401</v>
      </c>
      <c r="F29">
        <v>0.79046629122456002</v>
      </c>
      <c r="G29">
        <v>0.79046629122456002</v>
      </c>
      <c r="H29">
        <v>0.79046629122456002</v>
      </c>
      <c r="I29">
        <v>0.79046629122456002</v>
      </c>
      <c r="J29">
        <v>0.79046629122456002</v>
      </c>
      <c r="K29">
        <v>0.79325310692756701</v>
      </c>
      <c r="L29">
        <v>0.79325310692756701</v>
      </c>
      <c r="M29">
        <v>0.79325310692756701</v>
      </c>
      <c r="N29">
        <v>0.79325310692756701</v>
      </c>
    </row>
    <row r="31" spans="1:14" x14ac:dyDescent="0.3">
      <c r="B31" s="4">
        <f>(B27-A21)</f>
        <v>2.9913224365629709E-5</v>
      </c>
      <c r="C31" s="4">
        <f>(C27-A21)</f>
        <v>2.9913224365629709E-5</v>
      </c>
      <c r="D31" s="4">
        <f>(D27-A21)</f>
        <v>2.9913224365629709E-5</v>
      </c>
      <c r="E31" s="4">
        <f>(E27-A21)</f>
        <v>2.9913224365629709E-5</v>
      </c>
      <c r="F31" s="4">
        <f>F27-B21</f>
        <v>-1.4600642500584016E-6</v>
      </c>
      <c r="G31" s="4">
        <f>G27-B21</f>
        <v>-1.4600642500584016E-6</v>
      </c>
      <c r="H31" s="4">
        <f>H27-B21</f>
        <v>-1.4600642500584016E-6</v>
      </c>
      <c r="I31" s="4">
        <f>I27-B21</f>
        <v>-1.4600642500584016E-6</v>
      </c>
      <c r="J31" s="4">
        <f>J27-B21</f>
        <v>-1.4600642500584016E-6</v>
      </c>
      <c r="K31" s="4">
        <f>K27-C21</f>
        <v>-5.5951022703837339E-9</v>
      </c>
      <c r="L31" s="4">
        <f>L27-C21</f>
        <v>-5.5951022703837339E-9</v>
      </c>
      <c r="M31" s="4">
        <f>M27-C21</f>
        <v>-5.5951022703837339E-9</v>
      </c>
      <c r="N31" s="4">
        <f>N27-C21</f>
        <v>-5.5951022703837339E-9</v>
      </c>
    </row>
    <row r="32" spans="1:14" x14ac:dyDescent="0.3">
      <c r="B32" s="4">
        <f t="shared" ref="B32:B33" si="8">(B28-A22)</f>
        <v>-1.5487412708551311</v>
      </c>
      <c r="C32" s="4">
        <f t="shared" ref="C32:C33" si="9">(C28-A22)</f>
        <v>-1.5487412708551311</v>
      </c>
      <c r="D32" s="4">
        <f t="shared" ref="D32:D33" si="10">(D28-A22)</f>
        <v>-1.5487412708551311</v>
      </c>
      <c r="E32" s="4">
        <f t="shared" ref="E32:E33" si="11">(E28-A22)</f>
        <v>-1.5487412708551311</v>
      </c>
      <c r="F32" s="4">
        <f t="shared" ref="F32:F33" si="12">F28-B22</f>
        <v>-1.6726081162555007</v>
      </c>
      <c r="G32" s="4">
        <f t="shared" ref="G32:G33" si="13">G28-B22</f>
        <v>-1.6726081162555007</v>
      </c>
      <c r="H32" s="4">
        <f t="shared" ref="H32:H33" si="14">H28-B22</f>
        <v>-1.6726081162555007</v>
      </c>
      <c r="I32" s="4">
        <f t="shared" ref="I32:I33" si="15">I28-B22</f>
        <v>-1.6726081162555007</v>
      </c>
      <c r="J32" s="4">
        <f t="shared" ref="J32:K33" si="16">J28-B22</f>
        <v>-1.6726081162555007</v>
      </c>
      <c r="K32" s="4">
        <f t="shared" si="16"/>
        <v>-1.6942301519495704</v>
      </c>
      <c r="L32" s="4">
        <f t="shared" ref="L32:L33" si="17">L28-C22</f>
        <v>-1.6942301519495704</v>
      </c>
      <c r="M32" s="4">
        <f t="shared" ref="M32:M33" si="18">M28-C22</f>
        <v>-1.6942301519495704</v>
      </c>
      <c r="N32" s="4">
        <f t="shared" ref="N32:N33" si="19">N28-C22</f>
        <v>-1.6942301519495704</v>
      </c>
    </row>
    <row r="33" spans="2:14" x14ac:dyDescent="0.3">
      <c r="B33" s="4">
        <f t="shared" si="8"/>
        <v>1.8642312196231727</v>
      </c>
      <c r="C33" s="4">
        <f t="shared" si="9"/>
        <v>1.8642312196231727</v>
      </c>
      <c r="D33" s="4">
        <f t="shared" si="10"/>
        <v>1.8642312196231727</v>
      </c>
      <c r="E33" s="4">
        <f t="shared" si="11"/>
        <v>1.8642312196231727</v>
      </c>
      <c r="F33" s="4">
        <f t="shared" si="12"/>
        <v>2.6487492551515892</v>
      </c>
      <c r="G33" s="4">
        <f t="shared" si="13"/>
        <v>2.6487492551515892</v>
      </c>
      <c r="H33" s="4">
        <f t="shared" si="14"/>
        <v>2.6487492551515892</v>
      </c>
      <c r="I33" s="4">
        <f t="shared" si="15"/>
        <v>2.6487492551515892</v>
      </c>
      <c r="J33" s="4">
        <f t="shared" si="16"/>
        <v>2.6487492551515892</v>
      </c>
      <c r="K33" s="4">
        <f t="shared" si="16"/>
        <v>2.8862466591377993</v>
      </c>
      <c r="L33" s="4">
        <f t="shared" si="17"/>
        <v>2.8862466591377993</v>
      </c>
      <c r="M33" s="4">
        <f t="shared" si="18"/>
        <v>2.8862466591377993</v>
      </c>
      <c r="N33" s="4">
        <f t="shared" si="19"/>
        <v>2.8862466591377993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855B-0950-43FA-A3B4-1186C4D12199}">
  <dimension ref="A1:X33"/>
  <sheetViews>
    <sheetView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-1</v>
      </c>
      <c r="C3" s="1">
        <v>0</v>
      </c>
      <c r="D3" s="1">
        <v>0</v>
      </c>
      <c r="F3" t="s">
        <v>2</v>
      </c>
      <c r="G3">
        <v>-5.0441080661089934</v>
      </c>
      <c r="H3">
        <v>0</v>
      </c>
      <c r="I3">
        <v>0</v>
      </c>
      <c r="K3" t="s">
        <v>2</v>
      </c>
      <c r="L3">
        <v>-0.71102365203188256</v>
      </c>
      <c r="M3">
        <v>0</v>
      </c>
      <c r="N3">
        <v>0</v>
      </c>
      <c r="P3" t="s">
        <v>2</v>
      </c>
      <c r="Q3">
        <v>-0.99999159309252927</v>
      </c>
      <c r="R3">
        <v>0</v>
      </c>
      <c r="S3">
        <v>0</v>
      </c>
      <c r="U3" t="s">
        <v>2</v>
      </c>
      <c r="V3">
        <v>-0.99999997299234955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1</v>
      </c>
      <c r="D4" s="1">
        <v>0</v>
      </c>
      <c r="F4" t="s">
        <v>3</v>
      </c>
      <c r="G4">
        <v>0</v>
      </c>
      <c r="H4">
        <v>-0.97816929060004765</v>
      </c>
      <c r="I4">
        <v>0</v>
      </c>
      <c r="K4" t="s">
        <v>3</v>
      </c>
      <c r="L4">
        <v>0</v>
      </c>
      <c r="M4">
        <v>0.26331642927741</v>
      </c>
      <c r="N4">
        <v>0</v>
      </c>
      <c r="P4" t="s">
        <v>3</v>
      </c>
      <c r="Q4">
        <v>0</v>
      </c>
      <c r="R4">
        <v>1.0000014713124599</v>
      </c>
      <c r="S4">
        <v>0</v>
      </c>
      <c r="U4" t="s">
        <v>3</v>
      </c>
      <c r="V4">
        <v>0</v>
      </c>
      <c r="W4">
        <v>1.0000005462229689</v>
      </c>
      <c r="X4">
        <v>0</v>
      </c>
    </row>
    <row r="5" spans="1:24" x14ac:dyDescent="0.3">
      <c r="A5" s="1" t="s">
        <v>4</v>
      </c>
      <c r="B5" s="1">
        <v>2</v>
      </c>
      <c r="C5" s="1">
        <v>-2</v>
      </c>
      <c r="D5" s="1">
        <v>0</v>
      </c>
      <c r="F5" t="s">
        <v>4</v>
      </c>
      <c r="G5">
        <v>2.933879166258297</v>
      </c>
      <c r="H5">
        <v>-4.3095124427068718</v>
      </c>
      <c r="I5">
        <v>0</v>
      </c>
      <c r="K5" t="s">
        <v>4</v>
      </c>
      <c r="L5">
        <v>1.4204010488569856</v>
      </c>
      <c r="M5">
        <v>-1.731123032242514</v>
      </c>
      <c r="N5">
        <v>0</v>
      </c>
      <c r="P5" t="s">
        <v>4</v>
      </c>
      <c r="Q5">
        <v>1.9999845731631869</v>
      </c>
      <c r="R5">
        <v>-1.999993903259206</v>
      </c>
      <c r="S5">
        <v>0</v>
      </c>
      <c r="U5" t="s">
        <v>4</v>
      </c>
      <c r="V5">
        <v>1.9999851854195292</v>
      </c>
      <c r="W5">
        <v>-1.9999932603025101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16.354810050367824</v>
      </c>
      <c r="H8">
        <f t="shared" ref="H8:I10" si="0">(H3-C3)^2</f>
        <v>0</v>
      </c>
      <c r="I8">
        <f t="shared" si="0"/>
        <v>0</v>
      </c>
      <c r="L8">
        <f>(L3-B3)^2</f>
        <v>8.35073296849905E-2</v>
      </c>
      <c r="M8">
        <f t="shared" ref="M8:N10" si="1">(M3-C3)^2</f>
        <v>0</v>
      </c>
      <c r="N8">
        <f t="shared" si="1"/>
        <v>0</v>
      </c>
      <c r="Q8">
        <f>(Q3-B3)^2</f>
        <v>7.0676093221349184E-11</v>
      </c>
      <c r="R8">
        <f t="shared" ref="R8:S10" si="2">(R3-C3)^2</f>
        <v>0</v>
      </c>
      <c r="S8">
        <f t="shared" si="2"/>
        <v>0</v>
      </c>
      <c r="V8">
        <f>(V3-B3)^2</f>
        <v>7.2941318279613106E-16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3.9131537422730958</v>
      </c>
      <c r="I9">
        <f t="shared" si="0"/>
        <v>0</v>
      </c>
      <c r="L9">
        <f t="shared" ref="L9:L10" si="5">(L4-B4)^2</f>
        <v>0</v>
      </c>
      <c r="M9">
        <f t="shared" si="1"/>
        <v>0.54270268337258531</v>
      </c>
      <c r="N9">
        <f t="shared" si="1"/>
        <v>0</v>
      </c>
      <c r="Q9">
        <f t="shared" ref="Q9:Q10" si="6">(Q4-B4)^2</f>
        <v>0</v>
      </c>
      <c r="R9">
        <f t="shared" si="2"/>
        <v>2.1647603545581908E-12</v>
      </c>
      <c r="S9">
        <f t="shared" si="2"/>
        <v>0</v>
      </c>
      <c r="V9">
        <f t="shared" ref="V9:V10" si="7">(V4-B4)^2</f>
        <v>0</v>
      </c>
      <c r="W9">
        <f t="shared" si="3"/>
        <v>2.9835953170559894E-13</v>
      </c>
      <c r="X9">
        <f t="shared" si="3"/>
        <v>0</v>
      </c>
    </row>
    <row r="10" spans="1:24" x14ac:dyDescent="0.3">
      <c r="G10">
        <f t="shared" si="4"/>
        <v>0.87213029717129198</v>
      </c>
      <c r="H10">
        <f t="shared" si="0"/>
        <v>5.333847723017862</v>
      </c>
      <c r="I10">
        <f t="shared" si="0"/>
        <v>0</v>
      </c>
      <c r="L10">
        <f t="shared" si="5"/>
        <v>0.33593494416608238</v>
      </c>
      <c r="M10">
        <f t="shared" si="1"/>
        <v>7.2294823790460191E-2</v>
      </c>
      <c r="N10">
        <f t="shared" si="1"/>
        <v>0</v>
      </c>
      <c r="Q10">
        <f t="shared" si="6"/>
        <v>2.379872940581365E-10</v>
      </c>
      <c r="R10">
        <f t="shared" si="2"/>
        <v>3.7170248309134669E-11</v>
      </c>
      <c r="S10">
        <f t="shared" si="2"/>
        <v>0</v>
      </c>
      <c r="V10">
        <f t="shared" si="7"/>
        <v>2.1947179452616988E-10</v>
      </c>
      <c r="W10">
        <f t="shared" si="3"/>
        <v>4.5423522255054564E-11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26.473941812830073</v>
      </c>
      <c r="L13">
        <f>SUM(L8:N10)</f>
        <v>1.0344397810141184</v>
      </c>
      <c r="Q13">
        <f>SUM(Q8:S10)</f>
        <v>3.4799839594317855E-10</v>
      </c>
      <c r="V13">
        <f>SUM(V8:X10)</f>
        <v>2.6519440572611286E-10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-0.54232860789257165</v>
      </c>
      <c r="B21">
        <v>-0.56653111715738591</v>
      </c>
      <c r="C21">
        <v>-0.56746431968844069</v>
      </c>
    </row>
    <row r="22" spans="1:14" x14ac:dyDescent="0.3">
      <c r="A22">
        <v>0.63370222460025816</v>
      </c>
      <c r="B22">
        <v>0.73321097700310767</v>
      </c>
      <c r="C22">
        <v>0.75435865536730051</v>
      </c>
    </row>
    <row r="23" spans="1:14" x14ac:dyDescent="0.3">
      <c r="A23">
        <v>-1.1076452226178288</v>
      </c>
      <c r="B23">
        <v>-1.8582829639270291</v>
      </c>
      <c r="C23">
        <v>-2.0929935522102325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-0.54232860789257198</v>
      </c>
      <c r="C27">
        <v>-0.54232860789257198</v>
      </c>
      <c r="D27">
        <v>-0.54232860789257198</v>
      </c>
      <c r="E27">
        <v>-0.54232860789257198</v>
      </c>
      <c r="F27">
        <v>-0.56653111715738602</v>
      </c>
      <c r="G27">
        <v>-0.56653111715738602</v>
      </c>
      <c r="H27">
        <v>-0.56653111715738602</v>
      </c>
      <c r="I27">
        <v>-0.56653111715738602</v>
      </c>
      <c r="J27">
        <v>-0.56653111715738602</v>
      </c>
      <c r="K27">
        <v>-0.56746431968844102</v>
      </c>
      <c r="L27">
        <v>-0.56746431968844102</v>
      </c>
      <c r="M27">
        <v>-0.56746431968844102</v>
      </c>
      <c r="N27">
        <v>-0.56746431968844102</v>
      </c>
    </row>
    <row r="28" spans="1:14" x14ac:dyDescent="0.3">
      <c r="A28" t="s">
        <v>3</v>
      </c>
      <c r="B28">
        <v>0.63370222460025805</v>
      </c>
      <c r="C28">
        <v>0.63370222460025805</v>
      </c>
      <c r="D28">
        <v>0.63370222460025805</v>
      </c>
      <c r="E28">
        <v>0.63370222460025805</v>
      </c>
      <c r="F28">
        <v>0.733210977003108</v>
      </c>
      <c r="G28">
        <v>0.733210977003108</v>
      </c>
      <c r="H28">
        <v>0.733210977003108</v>
      </c>
      <c r="I28">
        <v>0.733210977003108</v>
      </c>
      <c r="J28">
        <v>0.733210977003108</v>
      </c>
      <c r="K28">
        <v>0.75435865536730096</v>
      </c>
      <c r="L28">
        <v>0.75435865536730096</v>
      </c>
      <c r="M28">
        <v>0.75435865536730096</v>
      </c>
      <c r="N28">
        <v>0.75435865536730096</v>
      </c>
    </row>
    <row r="29" spans="1:14" x14ac:dyDescent="0.3">
      <c r="A29" t="s">
        <v>4</v>
      </c>
      <c r="B29">
        <v>-1.1076452226178299</v>
      </c>
      <c r="C29">
        <v>-1.1076452226178299</v>
      </c>
      <c r="D29">
        <v>-1.1076452226178299</v>
      </c>
      <c r="E29">
        <v>-1.1076452226178299</v>
      </c>
      <c r="F29">
        <v>-1.85828296392703</v>
      </c>
      <c r="G29">
        <v>-1.85828296392703</v>
      </c>
      <c r="H29">
        <v>-1.85828296392703</v>
      </c>
      <c r="I29">
        <v>-1.85828296392703</v>
      </c>
      <c r="J29">
        <v>-1.85828296392703</v>
      </c>
      <c r="K29">
        <v>-2.0929935522102299</v>
      </c>
      <c r="L29">
        <v>-2.0929935522102299</v>
      </c>
      <c r="M29">
        <v>-2.0929935522102299</v>
      </c>
      <c r="N29">
        <v>-2.0929935522102299</v>
      </c>
    </row>
    <row r="31" spans="1:14" x14ac:dyDescent="0.3">
      <c r="B31" s="4">
        <f>(B27-A21)</f>
        <v>-3.3306690738754696E-16</v>
      </c>
      <c r="C31" s="4">
        <f>(C27-A21)</f>
        <v>-3.3306690738754696E-16</v>
      </c>
      <c r="D31" s="4">
        <f>(D27-A21)</f>
        <v>-3.3306690738754696E-16</v>
      </c>
      <c r="E31" s="4">
        <f>(E27-A21)</f>
        <v>-3.3306690738754696E-16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-1.1102230246251565E-16</v>
      </c>
      <c r="C32" s="4">
        <f t="shared" ref="C32:C33" si="9">(C28-A22)</f>
        <v>-1.1102230246251565E-16</v>
      </c>
      <c r="D32" s="4">
        <f t="shared" ref="D32:D33" si="10">(D28-A22)</f>
        <v>-1.1102230246251565E-16</v>
      </c>
      <c r="E32" s="4">
        <f t="shared" ref="E32:E33" si="11">(E28-A22)</f>
        <v>-1.1102230246251565E-16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-1.1102230246251565E-15</v>
      </c>
      <c r="C33" s="4">
        <f t="shared" si="9"/>
        <v>-1.1102230246251565E-15</v>
      </c>
      <c r="D33" s="4">
        <f t="shared" si="10"/>
        <v>-1.1102230246251565E-15</v>
      </c>
      <c r="E33" s="4">
        <f t="shared" si="11"/>
        <v>-1.1102230246251565E-15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5077-7D58-445D-88CE-6CDD9FB7B05C}">
  <dimension ref="A1:X33"/>
  <sheetViews>
    <sheetView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1</v>
      </c>
      <c r="C3" s="1">
        <v>0</v>
      </c>
      <c r="D3" s="1">
        <v>0</v>
      </c>
      <c r="F3" t="s">
        <v>2</v>
      </c>
      <c r="G3">
        <v>1.1545157358988558</v>
      </c>
      <c r="H3">
        <v>0</v>
      </c>
      <c r="I3">
        <v>0</v>
      </c>
      <c r="K3" t="s">
        <v>2</v>
      </c>
      <c r="L3">
        <v>0.25742415019557791</v>
      </c>
      <c r="M3">
        <v>0</v>
      </c>
      <c r="N3">
        <v>0</v>
      </c>
      <c r="P3" t="s">
        <v>2</v>
      </c>
      <c r="Q3">
        <v>1.0000014713122021</v>
      </c>
      <c r="R3">
        <v>0</v>
      </c>
      <c r="S3">
        <v>0</v>
      </c>
      <c r="U3" t="s">
        <v>2</v>
      </c>
      <c r="V3">
        <v>1.000000546223097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-4.4204169868020502</v>
      </c>
      <c r="I4">
        <v>0</v>
      </c>
      <c r="K4" t="s">
        <v>3</v>
      </c>
      <c r="L4">
        <v>0</v>
      </c>
      <c r="M4">
        <v>-0.70441928516664865</v>
      </c>
      <c r="N4">
        <v>0</v>
      </c>
      <c r="P4" t="s">
        <v>3</v>
      </c>
      <c r="Q4">
        <v>0</v>
      </c>
      <c r="R4">
        <v>-0.99999159309464403</v>
      </c>
      <c r="S4">
        <v>0</v>
      </c>
      <c r="U4" t="s">
        <v>3</v>
      </c>
      <c r="V4">
        <v>0</v>
      </c>
      <c r="W4">
        <v>-0.99999997299249677</v>
      </c>
      <c r="X4">
        <v>0</v>
      </c>
    </row>
    <row r="5" spans="1:24" x14ac:dyDescent="0.3">
      <c r="A5" s="1" t="s">
        <v>4</v>
      </c>
      <c r="B5" s="1">
        <v>-2</v>
      </c>
      <c r="C5" s="1">
        <v>2</v>
      </c>
      <c r="D5" s="1">
        <v>0</v>
      </c>
      <c r="F5" t="s">
        <v>4</v>
      </c>
      <c r="G5">
        <v>-2.2129945440279917</v>
      </c>
      <c r="H5">
        <v>2.1910105470629961</v>
      </c>
      <c r="I5">
        <v>0</v>
      </c>
      <c r="K5" t="s">
        <v>4</v>
      </c>
      <c r="L5">
        <v>-1.7312883883925512</v>
      </c>
      <c r="M5">
        <v>1.4268944580545606</v>
      </c>
      <c r="N5">
        <v>0</v>
      </c>
      <c r="P5" t="s">
        <v>4</v>
      </c>
      <c r="Q5">
        <v>-1.9999939032580698</v>
      </c>
      <c r="R5">
        <v>1.9999845731648653</v>
      </c>
      <c r="S5">
        <v>0</v>
      </c>
      <c r="U5" t="s">
        <v>4</v>
      </c>
      <c r="V5">
        <v>-1.9999932603022799</v>
      </c>
      <c r="W5">
        <v>1.9999851854190651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2.3875112640364959E-2</v>
      </c>
      <c r="H8">
        <f t="shared" ref="H8:I10" si="0">(H3-C3)^2</f>
        <v>0</v>
      </c>
      <c r="I8">
        <f t="shared" si="0"/>
        <v>0</v>
      </c>
      <c r="L8">
        <f>(L3-B3)^2</f>
        <v>0.55141889271275968</v>
      </c>
      <c r="M8">
        <f t="shared" ref="M8:N10" si="1">(M3-C3)^2</f>
        <v>0</v>
      </c>
      <c r="N8">
        <f t="shared" si="1"/>
        <v>0</v>
      </c>
      <c r="Q8">
        <f>(Q3-B3)^2</f>
        <v>2.1647595959678373E-12</v>
      </c>
      <c r="R8">
        <f t="shared" ref="R8:S10" si="2">(R3-C3)^2</f>
        <v>0</v>
      </c>
      <c r="S8">
        <f t="shared" si="2"/>
        <v>0</v>
      </c>
      <c r="V8">
        <f>(V3-B3)^2</f>
        <v>2.9835967166950162E-13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11.699252363604016</v>
      </c>
      <c r="I9">
        <f t="shared" si="0"/>
        <v>0</v>
      </c>
      <c r="L9">
        <f t="shared" ref="L9:L10" si="5">(L4-B4)^2</f>
        <v>0</v>
      </c>
      <c r="M9">
        <f t="shared" si="1"/>
        <v>8.7367958981394975E-2</v>
      </c>
      <c r="N9">
        <f t="shared" si="1"/>
        <v>0</v>
      </c>
      <c r="Q9">
        <f t="shared" ref="Q9:Q10" si="6">(Q4-B4)^2</f>
        <v>0</v>
      </c>
      <c r="R9">
        <f t="shared" si="2"/>
        <v>7.0676057664291134E-11</v>
      </c>
      <c r="S9">
        <f t="shared" si="2"/>
        <v>0</v>
      </c>
      <c r="V9">
        <f t="shared" ref="V9:V10" si="7">(V4-B4)^2</f>
        <v>0</v>
      </c>
      <c r="W9">
        <f t="shared" si="3"/>
        <v>7.2940523092432738E-16</v>
      </c>
      <c r="X9">
        <f t="shared" si="3"/>
        <v>0</v>
      </c>
    </row>
    <row r="10" spans="1:24" x14ac:dyDescent="0.3">
      <c r="G10">
        <f t="shared" si="4"/>
        <v>4.5366675785692083E-2</v>
      </c>
      <c r="H10">
        <f t="shared" si="0"/>
        <v>3.6485029089305065E-2</v>
      </c>
      <c r="I10">
        <f t="shared" si="0"/>
        <v>0</v>
      </c>
      <c r="L10">
        <f t="shared" si="5"/>
        <v>7.2205930212672423E-2</v>
      </c>
      <c r="M10">
        <f t="shared" si="1"/>
        <v>0.32844996220857581</v>
      </c>
      <c r="N10">
        <f t="shared" si="1"/>
        <v>0</v>
      </c>
      <c r="Q10">
        <f t="shared" si="6"/>
        <v>3.7170262163397092E-11</v>
      </c>
      <c r="R10">
        <f t="shared" si="2"/>
        <v>2.3798724227224842E-10</v>
      </c>
      <c r="S10">
        <f t="shared" si="2"/>
        <v>0</v>
      </c>
      <c r="V10">
        <f t="shared" si="7"/>
        <v>4.5423525358823546E-11</v>
      </c>
      <c r="W10">
        <f t="shared" si="3"/>
        <v>2.1947180827627037E-10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11.804979181119378</v>
      </c>
      <c r="L13">
        <f>SUM(L8:N10)</f>
        <v>1.0394427441154028</v>
      </c>
      <c r="Q13">
        <f>SUM(Q8:S10)</f>
        <v>3.4799832169590451E-10</v>
      </c>
      <c r="V13">
        <f>SUM(V8:X10)</f>
        <v>2.6519442271199434E-10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0.63370222460025816</v>
      </c>
      <c r="B21">
        <v>0.73321097700310767</v>
      </c>
      <c r="C21">
        <v>0.75435865536730051</v>
      </c>
    </row>
    <row r="22" spans="1:14" x14ac:dyDescent="0.3">
      <c r="A22">
        <v>-0.54232860789257165</v>
      </c>
      <c r="B22">
        <v>-0.56653111715738591</v>
      </c>
      <c r="C22">
        <v>-0.56746431968844069</v>
      </c>
    </row>
    <row r="23" spans="1:14" x14ac:dyDescent="0.3">
      <c r="A23">
        <v>-1.1076452226178288</v>
      </c>
      <c r="B23">
        <v>-1.8582829639270291</v>
      </c>
      <c r="C23">
        <v>-2.0929935522102325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0.63370222460025805</v>
      </c>
      <c r="C27">
        <v>0.63370222460025805</v>
      </c>
      <c r="D27">
        <v>0.63370222460025805</v>
      </c>
      <c r="E27">
        <v>0.63370222460025805</v>
      </c>
      <c r="F27">
        <v>0.733210977003108</v>
      </c>
      <c r="G27">
        <v>0.733210977003108</v>
      </c>
      <c r="H27">
        <v>0.733210977003108</v>
      </c>
      <c r="I27">
        <v>0.733210977003108</v>
      </c>
      <c r="J27">
        <v>0.733210977003108</v>
      </c>
      <c r="K27">
        <v>0.75435865536730096</v>
      </c>
      <c r="L27">
        <v>0.75435865536730096</v>
      </c>
      <c r="M27">
        <v>0.75435865536730096</v>
      </c>
      <c r="N27">
        <v>0.75435865536730096</v>
      </c>
    </row>
    <row r="28" spans="1:14" x14ac:dyDescent="0.3">
      <c r="A28" t="s">
        <v>3</v>
      </c>
      <c r="B28">
        <v>-0.54232860789257198</v>
      </c>
      <c r="C28">
        <v>-0.54232860789257198</v>
      </c>
      <c r="D28">
        <v>-0.54232860789257198</v>
      </c>
      <c r="E28">
        <v>-0.54232860789257198</v>
      </c>
      <c r="F28">
        <v>-0.56653111715738602</v>
      </c>
      <c r="G28">
        <v>-0.56653111715738602</v>
      </c>
      <c r="H28">
        <v>-0.56653111715738602</v>
      </c>
      <c r="I28">
        <v>-0.56653111715738602</v>
      </c>
      <c r="J28">
        <v>-0.56653111715738602</v>
      </c>
      <c r="K28">
        <v>-0.56746431968844102</v>
      </c>
      <c r="L28">
        <v>-0.56746431968844102</v>
      </c>
      <c r="M28">
        <v>-0.56746431968844102</v>
      </c>
      <c r="N28">
        <v>-0.56746431968844102</v>
      </c>
    </row>
    <row r="29" spans="1:14" x14ac:dyDescent="0.3">
      <c r="A29" t="s">
        <v>4</v>
      </c>
      <c r="B29">
        <v>-1.1076452226178299</v>
      </c>
      <c r="C29">
        <v>-1.1076452226178299</v>
      </c>
      <c r="D29">
        <v>-1.1076452226178299</v>
      </c>
      <c r="E29">
        <v>-1.1076452226178299</v>
      </c>
      <c r="F29">
        <v>-1.85828296392703</v>
      </c>
      <c r="G29">
        <v>-1.85828296392703</v>
      </c>
      <c r="H29">
        <v>-1.85828296392703</v>
      </c>
      <c r="I29">
        <v>-1.85828296392703</v>
      </c>
      <c r="J29">
        <v>-1.85828296392703</v>
      </c>
      <c r="K29">
        <v>-2.0929935522102299</v>
      </c>
      <c r="L29">
        <v>-2.0929935522102299</v>
      </c>
      <c r="M29">
        <v>-2.0929935522102299</v>
      </c>
      <c r="N29">
        <v>-2.0929935522102299</v>
      </c>
    </row>
    <row r="31" spans="1:14" x14ac:dyDescent="0.3">
      <c r="B31" s="4">
        <f>(B27-A21)</f>
        <v>-1.1102230246251565E-16</v>
      </c>
      <c r="C31" s="4">
        <f>(C27-A21)</f>
        <v>-1.1102230246251565E-16</v>
      </c>
      <c r="D31" s="4">
        <f>(D27-A21)</f>
        <v>-1.1102230246251565E-16</v>
      </c>
      <c r="E31" s="4">
        <f>(E27-A21)</f>
        <v>-1.1102230246251565E-16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-3.3306690738754696E-16</v>
      </c>
      <c r="C32" s="4">
        <f t="shared" ref="C32:C33" si="9">(C28-A22)</f>
        <v>-3.3306690738754696E-16</v>
      </c>
      <c r="D32" s="4">
        <f t="shared" ref="D32:D33" si="10">(D28-A22)</f>
        <v>-3.3306690738754696E-16</v>
      </c>
      <c r="E32" s="4">
        <f t="shared" ref="E32:E33" si="11">(E28-A22)</f>
        <v>-3.3306690738754696E-16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-1.1102230246251565E-15</v>
      </c>
      <c r="C33" s="4">
        <f t="shared" si="9"/>
        <v>-1.1102230246251565E-15</v>
      </c>
      <c r="D33" s="4">
        <f t="shared" si="10"/>
        <v>-1.1102230246251565E-15</v>
      </c>
      <c r="E33" s="4">
        <f t="shared" si="11"/>
        <v>-1.1102230246251565E-15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A11A3-F5AB-4A9F-8342-F83D4795C110}">
  <dimension ref="A1:X33"/>
  <sheetViews>
    <sheetView topLeftCell="Q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1</v>
      </c>
      <c r="C3" s="1">
        <v>0</v>
      </c>
      <c r="D3" s="1">
        <v>0</v>
      </c>
      <c r="F3" t="s">
        <v>2</v>
      </c>
      <c r="G3">
        <v>0.72064499925902636</v>
      </c>
      <c r="H3">
        <v>0</v>
      </c>
      <c r="I3">
        <v>0</v>
      </c>
      <c r="K3" t="s">
        <v>2</v>
      </c>
      <c r="L3">
        <v>0.72100316064089454</v>
      </c>
      <c r="M3">
        <v>0</v>
      </c>
      <c r="N3">
        <v>0</v>
      </c>
      <c r="P3" t="s">
        <v>2</v>
      </c>
      <c r="Q3">
        <v>0.99999904258253192</v>
      </c>
      <c r="R3">
        <v>0</v>
      </c>
      <c r="S3">
        <v>0</v>
      </c>
      <c r="U3" t="s">
        <v>2</v>
      </c>
      <c r="V3">
        <v>1.0000001273506844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2</v>
      </c>
      <c r="D4" s="1">
        <v>0</v>
      </c>
      <c r="F4" t="s">
        <v>3</v>
      </c>
      <c r="G4">
        <v>0</v>
      </c>
      <c r="H4">
        <v>1.9998850812334024</v>
      </c>
      <c r="I4">
        <v>0</v>
      </c>
      <c r="K4" t="s">
        <v>3</v>
      </c>
      <c r="L4">
        <v>0</v>
      </c>
      <c r="M4">
        <v>1.7418533047863796</v>
      </c>
      <c r="N4">
        <v>0</v>
      </c>
      <c r="P4" t="s">
        <v>3</v>
      </c>
      <c r="Q4">
        <v>0</v>
      </c>
      <c r="R4">
        <v>1.9999942883311703</v>
      </c>
      <c r="S4">
        <v>0</v>
      </c>
      <c r="U4" t="s">
        <v>3</v>
      </c>
      <c r="V4">
        <v>0</v>
      </c>
      <c r="W4">
        <v>1.9999897557985844</v>
      </c>
      <c r="X4">
        <v>0</v>
      </c>
    </row>
    <row r="5" spans="1:24" x14ac:dyDescent="0.3">
      <c r="A5" s="1" t="s">
        <v>4</v>
      </c>
      <c r="B5" s="1">
        <v>-2</v>
      </c>
      <c r="C5" s="1">
        <v>-1</v>
      </c>
      <c r="D5" s="1">
        <v>0</v>
      </c>
      <c r="F5" t="s">
        <v>4</v>
      </c>
      <c r="G5">
        <v>-1.9152191436115753</v>
      </c>
      <c r="H5">
        <v>-1.0748150686198683</v>
      </c>
      <c r="I5">
        <v>0</v>
      </c>
      <c r="K5" t="s">
        <v>4</v>
      </c>
      <c r="L5">
        <v>-1.9164146736652277</v>
      </c>
      <c r="M5">
        <v>-1.0504013127269711</v>
      </c>
      <c r="N5">
        <v>0</v>
      </c>
      <c r="P5" t="s">
        <v>4</v>
      </c>
      <c r="Q5">
        <v>-1.9999967085705916</v>
      </c>
      <c r="R5">
        <v>-1.0000016311971454</v>
      </c>
      <c r="S5">
        <v>0</v>
      </c>
      <c r="U5" t="s">
        <v>4</v>
      </c>
      <c r="V5">
        <v>-1.9990960795398294</v>
      </c>
      <c r="W5">
        <v>-1.0007763744975378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7.8039216438989381E-2</v>
      </c>
      <c r="H8">
        <f t="shared" ref="H8:I10" si="0">(H3-C3)^2</f>
        <v>0</v>
      </c>
      <c r="I8">
        <f t="shared" si="0"/>
        <v>0</v>
      </c>
      <c r="L8">
        <f>(L3-B3)^2</f>
        <v>7.7839236372370502E-2</v>
      </c>
      <c r="M8">
        <f t="shared" ref="M8:N10" si="1">(M3-C3)^2</f>
        <v>0</v>
      </c>
      <c r="N8">
        <f t="shared" si="1"/>
        <v>0</v>
      </c>
      <c r="Q8">
        <f>(Q3-B3)^2</f>
        <v>9.1664820819190677E-13</v>
      </c>
      <c r="R8">
        <f t="shared" ref="R8:S10" si="2">(R3-C3)^2</f>
        <v>0</v>
      </c>
      <c r="S8">
        <f t="shared" si="2"/>
        <v>0</v>
      </c>
      <c r="V8">
        <f>(V3-B3)^2</f>
        <v>1.6218196827938114E-14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1.3206322916322425E-8</v>
      </c>
      <c r="I9">
        <f t="shared" si="0"/>
        <v>0</v>
      </c>
      <c r="L9">
        <f t="shared" ref="L9:L10" si="5">(L4-B4)^2</f>
        <v>0</v>
      </c>
      <c r="M9">
        <f t="shared" si="1"/>
        <v>6.6639716249713848E-2</v>
      </c>
      <c r="N9">
        <f t="shared" si="1"/>
        <v>0</v>
      </c>
      <c r="Q9">
        <f t="shared" ref="Q9:Q10" si="6">(Q4-B4)^2</f>
        <v>0</v>
      </c>
      <c r="R9">
        <f t="shared" si="2"/>
        <v>3.2623160819911402E-11</v>
      </c>
      <c r="S9">
        <f t="shared" si="2"/>
        <v>0</v>
      </c>
      <c r="V9">
        <f t="shared" ref="V9:V10" si="7">(V4-B4)^2</f>
        <v>0</v>
      </c>
      <c r="W9">
        <f t="shared" si="3"/>
        <v>1.0494366264336072E-10</v>
      </c>
      <c r="X9">
        <f t="shared" si="3"/>
        <v>0</v>
      </c>
    </row>
    <row r="10" spans="1:24" x14ac:dyDescent="0.3">
      <c r="G10">
        <f t="shared" si="4"/>
        <v>7.1877936099546931E-3</v>
      </c>
      <c r="H10">
        <f t="shared" si="0"/>
        <v>5.5972944925956033E-3</v>
      </c>
      <c r="I10">
        <f t="shared" si="0"/>
        <v>0</v>
      </c>
      <c r="L10">
        <f t="shared" si="5"/>
        <v>6.9865067784903858E-3</v>
      </c>
      <c r="M10">
        <f t="shared" si="1"/>
        <v>2.5402923246019417E-3</v>
      </c>
      <c r="N10">
        <f t="shared" si="1"/>
        <v>0</v>
      </c>
      <c r="Q10">
        <f t="shared" si="6"/>
        <v>1.0833507550207723E-11</v>
      </c>
      <c r="R10">
        <f t="shared" si="2"/>
        <v>2.6608041270225629E-12</v>
      </c>
      <c r="S10">
        <f t="shared" si="2"/>
        <v>0</v>
      </c>
      <c r="V10">
        <f t="shared" si="7"/>
        <v>8.1707219831507691E-7</v>
      </c>
      <c r="W10">
        <f t="shared" si="3"/>
        <v>6.0275736042700518E-7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9.0824317747862593E-2</v>
      </c>
      <c r="L13">
        <f>SUM(L8:N10)</f>
        <v>0.15400575172517667</v>
      </c>
      <c r="Q13">
        <f>SUM(Q8:S10)</f>
        <v>4.7034120705333598E-11</v>
      </c>
      <c r="V13">
        <f>SUM(V8:X10)</f>
        <v>1.4199345186229222E-6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0.63370218815287971</v>
      </c>
      <c r="B21">
        <v>0.73321112983164771</v>
      </c>
      <c r="C21">
        <v>0.75435871626305551</v>
      </c>
    </row>
    <row r="22" spans="1:14" x14ac:dyDescent="0.3">
      <c r="A22">
        <v>0.87474518396977086</v>
      </c>
      <c r="B22">
        <v>0.96025595054143076</v>
      </c>
      <c r="C22">
        <v>0.97145738981248086</v>
      </c>
    </row>
    <row r="23" spans="1:14" x14ac:dyDescent="0.3">
      <c r="A23">
        <v>-3.038955488041601</v>
      </c>
      <c r="B23">
        <v>-5.5004944892432786</v>
      </c>
      <c r="C23">
        <v>-6.67932194953337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0.63370218815288004</v>
      </c>
      <c r="C27">
        <v>0.63370218815288004</v>
      </c>
      <c r="D27">
        <v>0.63370218815288004</v>
      </c>
      <c r="E27">
        <v>0.63370218815288004</v>
      </c>
      <c r="F27">
        <v>0.73321112983164805</v>
      </c>
      <c r="G27">
        <v>0.73321112983164805</v>
      </c>
      <c r="H27">
        <v>0.73321112983164805</v>
      </c>
      <c r="I27">
        <v>0.73321112983164805</v>
      </c>
      <c r="J27">
        <v>0.73321112983164805</v>
      </c>
      <c r="K27">
        <v>0.75435871626305595</v>
      </c>
      <c r="L27">
        <v>0.75435871626305595</v>
      </c>
      <c r="M27">
        <v>0.75435871626305595</v>
      </c>
      <c r="N27">
        <v>0.75435871626305595</v>
      </c>
    </row>
    <row r="28" spans="1:14" x14ac:dyDescent="0.3">
      <c r="A28" t="s">
        <v>3</v>
      </c>
      <c r="B28">
        <v>0.87474518396977097</v>
      </c>
      <c r="C28">
        <v>0.87474518396977097</v>
      </c>
      <c r="D28">
        <v>0.87474518396977097</v>
      </c>
      <c r="E28">
        <v>0.87474518396977097</v>
      </c>
      <c r="F28">
        <v>0.96025595054143098</v>
      </c>
      <c r="G28">
        <v>0.96025595054143098</v>
      </c>
      <c r="H28">
        <v>0.96025595054143098</v>
      </c>
      <c r="I28">
        <v>0.96025595054143098</v>
      </c>
      <c r="J28">
        <v>0.96025595054143098</v>
      </c>
      <c r="K28">
        <v>0.97145738981248098</v>
      </c>
      <c r="L28">
        <v>0.97145738981248098</v>
      </c>
      <c r="M28">
        <v>0.97145738981248098</v>
      </c>
      <c r="N28">
        <v>0.97145738981248098</v>
      </c>
    </row>
    <row r="29" spans="1:14" x14ac:dyDescent="0.3">
      <c r="A29" t="s">
        <v>4</v>
      </c>
      <c r="B29">
        <v>-3.0389554880416001</v>
      </c>
      <c r="C29">
        <v>-3.0389554880416001</v>
      </c>
      <c r="D29">
        <v>-3.0389554880416001</v>
      </c>
      <c r="E29">
        <v>-3.0389554880416001</v>
      </c>
      <c r="F29">
        <v>-5.5004944892432803</v>
      </c>
      <c r="G29">
        <v>-5.5004944892432803</v>
      </c>
      <c r="H29">
        <v>-5.5004944892432803</v>
      </c>
      <c r="I29">
        <v>-5.5004944892432803</v>
      </c>
      <c r="J29">
        <v>-5.5004944892432803</v>
      </c>
      <c r="K29">
        <v>-6.67932194953337</v>
      </c>
      <c r="L29">
        <v>-6.67932194953337</v>
      </c>
      <c r="M29">
        <v>-6.67932194953337</v>
      </c>
      <c r="N29">
        <v>-6.67932194953337</v>
      </c>
    </row>
    <row r="31" spans="1:14" x14ac:dyDescent="0.3">
      <c r="B31" s="4">
        <f>(B27-A21)</f>
        <v>3.3306690738754696E-16</v>
      </c>
      <c r="C31" s="4">
        <f>(C27-A21)</f>
        <v>3.3306690738754696E-16</v>
      </c>
      <c r="D31" s="4">
        <f>(D27-A21)</f>
        <v>3.3306690738754696E-16</v>
      </c>
      <c r="E31" s="4">
        <f>(E27-A21)</f>
        <v>3.3306690738754696E-16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1.1102230246251565E-16</v>
      </c>
      <c r="C32" s="4">
        <f t="shared" ref="C32:C33" si="9">(C28-A22)</f>
        <v>1.1102230246251565E-16</v>
      </c>
      <c r="D32" s="4">
        <f t="shared" ref="D32:D33" si="10">(D28-A22)</f>
        <v>1.1102230246251565E-16</v>
      </c>
      <c r="E32" s="4">
        <f t="shared" ref="E32:E33" si="11">(E28-A22)</f>
        <v>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8.8817841970012523E-16</v>
      </c>
      <c r="C33" s="4">
        <f t="shared" si="9"/>
        <v>8.8817841970012523E-16</v>
      </c>
      <c r="D33" s="4">
        <f t="shared" si="10"/>
        <v>8.8817841970012523E-16</v>
      </c>
      <c r="E33" s="4">
        <f t="shared" si="11"/>
        <v>8.8817841970012523E-16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2ACD-C373-4517-8C6E-00079D04EE48}">
  <dimension ref="A1:X33"/>
  <sheetViews>
    <sheetView topLeftCell="P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1</v>
      </c>
      <c r="C3" s="1">
        <v>0</v>
      </c>
      <c r="D3" s="1">
        <v>0</v>
      </c>
      <c r="F3" t="s">
        <v>2</v>
      </c>
      <c r="G3">
        <v>1.001131111868335</v>
      </c>
      <c r="H3">
        <v>0</v>
      </c>
      <c r="I3">
        <v>0</v>
      </c>
      <c r="K3" t="s">
        <v>2</v>
      </c>
      <c r="L3">
        <v>1.0231630969283632</v>
      </c>
      <c r="M3">
        <v>0</v>
      </c>
      <c r="N3">
        <v>0</v>
      </c>
      <c r="P3" t="s">
        <v>2</v>
      </c>
      <c r="Q3">
        <v>1.0000073652308441</v>
      </c>
      <c r="R3">
        <v>0</v>
      </c>
      <c r="S3">
        <v>0</v>
      </c>
      <c r="U3" t="s">
        <v>2</v>
      </c>
      <c r="V3">
        <v>1.000000112000498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-2</v>
      </c>
      <c r="D4" s="1">
        <v>0</v>
      </c>
      <c r="F4" t="s">
        <v>3</v>
      </c>
      <c r="G4">
        <v>0</v>
      </c>
      <c r="H4">
        <v>-1.9997292505357209</v>
      </c>
      <c r="I4">
        <v>0</v>
      </c>
      <c r="K4" t="s">
        <v>3</v>
      </c>
      <c r="L4">
        <v>0</v>
      </c>
      <c r="M4">
        <v>-1.8204456573379186</v>
      </c>
      <c r="N4">
        <v>0</v>
      </c>
      <c r="P4" t="s">
        <v>3</v>
      </c>
      <c r="Q4">
        <v>0</v>
      </c>
      <c r="R4">
        <v>-1.9996736125730976</v>
      </c>
      <c r="S4">
        <v>0</v>
      </c>
      <c r="U4" t="s">
        <v>3</v>
      </c>
      <c r="V4">
        <v>0</v>
      </c>
      <c r="W4">
        <v>-1.9999996387318504</v>
      </c>
      <c r="X4">
        <v>0</v>
      </c>
    </row>
    <row r="5" spans="1:24" x14ac:dyDescent="0.3">
      <c r="A5" s="1" t="s">
        <v>4</v>
      </c>
      <c r="B5" s="1">
        <v>-1</v>
      </c>
      <c r="C5" s="1">
        <v>2</v>
      </c>
      <c r="D5" s="1">
        <v>0</v>
      </c>
      <c r="F5" t="s">
        <v>4</v>
      </c>
      <c r="G5">
        <v>-0.99925293494326173</v>
      </c>
      <c r="H5">
        <v>1.9867987405076817</v>
      </c>
      <c r="I5">
        <v>0</v>
      </c>
      <c r="K5" t="s">
        <v>4</v>
      </c>
      <c r="L5">
        <v>-0.87439736150035452</v>
      </c>
      <c r="M5">
        <v>1.4577304275071223</v>
      </c>
      <c r="N5">
        <v>0</v>
      </c>
      <c r="P5" t="s">
        <v>4</v>
      </c>
      <c r="Q5">
        <v>-1.0000045855120048</v>
      </c>
      <c r="R5">
        <v>1.999773575278802</v>
      </c>
      <c r="S5">
        <v>0</v>
      </c>
      <c r="U5" t="s">
        <v>4</v>
      </c>
      <c r="V5">
        <v>-0.99999313729512429</v>
      </c>
      <c r="W5">
        <v>1.9999793781633906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1.279414058688369E-6</v>
      </c>
      <c r="H8">
        <f t="shared" ref="H8:I10" si="0">(H3-C3)^2</f>
        <v>0</v>
      </c>
      <c r="I8">
        <f t="shared" si="0"/>
        <v>0</v>
      </c>
      <c r="L8">
        <f>(L3-B3)^2</f>
        <v>5.3652905931274677E-4</v>
      </c>
      <c r="M8">
        <f t="shared" ref="M8:N10" si="1">(M3-C3)^2</f>
        <v>0</v>
      </c>
      <c r="N8">
        <f t="shared" si="1"/>
        <v>0</v>
      </c>
      <c r="Q8">
        <f>(Q3-B3)^2</f>
        <v>5.4246625386926337E-11</v>
      </c>
      <c r="R8">
        <f t="shared" ref="R8:S10" si="2">(R3-C3)^2</f>
        <v>0</v>
      </c>
      <c r="S8">
        <f t="shared" si="2"/>
        <v>0</v>
      </c>
      <c r="V8">
        <f>(V3-B3)^2</f>
        <v>1.2544111549357718E-14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7.3305272407405683E-8</v>
      </c>
      <c r="I9">
        <f t="shared" si="0"/>
        <v>0</v>
      </c>
      <c r="L9">
        <f t="shared" ref="L9:L10" si="5">(L4-B4)^2</f>
        <v>0</v>
      </c>
      <c r="M9">
        <f t="shared" si="1"/>
        <v>3.2239761968812133E-2</v>
      </c>
      <c r="N9">
        <f t="shared" si="1"/>
        <v>0</v>
      </c>
      <c r="Q9">
        <f t="shared" ref="Q9:Q10" si="6">(Q4-B4)^2</f>
        <v>0</v>
      </c>
      <c r="R9">
        <f t="shared" si="2"/>
        <v>1.0652875243996028E-7</v>
      </c>
      <c r="S9">
        <f t="shared" si="2"/>
        <v>0</v>
      </c>
      <c r="V9">
        <f t="shared" ref="V9:V10" si="7">(V4-B4)^2</f>
        <v>0</v>
      </c>
      <c r="W9">
        <f t="shared" si="3"/>
        <v>1.3051467592834089E-13</v>
      </c>
      <c r="X9">
        <f t="shared" si="3"/>
        <v>0</v>
      </c>
    </row>
    <row r="10" spans="1:24" x14ac:dyDescent="0.3">
      <c r="G10">
        <f t="shared" si="4"/>
        <v>5.5810619899935746E-7</v>
      </c>
      <c r="H10">
        <f t="shared" si="0"/>
        <v>1.7427325218352449E-4</v>
      </c>
      <c r="I10">
        <f t="shared" si="0"/>
        <v>0</v>
      </c>
      <c r="L10">
        <f t="shared" si="5"/>
        <v>1.5776022798072626E-2</v>
      </c>
      <c r="M10">
        <f t="shared" si="1"/>
        <v>0.29405628925160832</v>
      </c>
      <c r="N10">
        <f t="shared" si="1"/>
        <v>0</v>
      </c>
      <c r="Q10">
        <f t="shared" si="6"/>
        <v>2.1026920345920111E-11</v>
      </c>
      <c r="R10">
        <f t="shared" si="2"/>
        <v>5.1268154369614026E-8</v>
      </c>
      <c r="S10">
        <f t="shared" si="2"/>
        <v>0</v>
      </c>
      <c r="V10">
        <f t="shared" si="7"/>
        <v>4.709671821109002E-11</v>
      </c>
      <c r="W10">
        <f t="shared" si="3"/>
        <v>4.2526014514672159E-10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1.7618407771361963E-4</v>
      </c>
      <c r="L13">
        <f>SUM(L8:N10)</f>
        <v>0.34260860307780583</v>
      </c>
      <c r="Q13">
        <f>SUM(Q8:S10)</f>
        <v>1.5787218035530715E-7</v>
      </c>
      <c r="V13">
        <f>SUM(V8:X10)</f>
        <v>4.7249992214528933E-10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0.63369942739161211</v>
      </c>
      <c r="B21">
        <v>0.73320979761887684</v>
      </c>
      <c r="C21">
        <v>0.75435865952234304</v>
      </c>
    </row>
    <row r="22" spans="1:14" x14ac:dyDescent="0.3">
      <c r="A22">
        <v>-0.91503956061231162</v>
      </c>
      <c r="B22">
        <v>-0.93939750483778739</v>
      </c>
      <c r="C22">
        <v>-0.93987149582793283</v>
      </c>
    </row>
    <row r="23" spans="1:14" x14ac:dyDescent="0.3">
      <c r="A23">
        <v>-0.18253677311962271</v>
      </c>
      <c r="B23">
        <v>-0.45750707997217177</v>
      </c>
      <c r="C23">
        <v>-0.53627178895232352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0.633699427391612</v>
      </c>
      <c r="C27">
        <v>0.633699427391612</v>
      </c>
      <c r="D27">
        <v>0.633699427391612</v>
      </c>
      <c r="E27">
        <v>0.633699427391612</v>
      </c>
      <c r="F27">
        <v>0.73320979761887695</v>
      </c>
      <c r="G27">
        <v>0.73320979761887695</v>
      </c>
      <c r="H27">
        <v>0.73320979761887695</v>
      </c>
      <c r="I27">
        <v>0.73320979761887695</v>
      </c>
      <c r="J27">
        <v>0.73320979761887695</v>
      </c>
      <c r="K27">
        <v>0.75435865952234304</v>
      </c>
      <c r="L27">
        <v>0.75435865952234304</v>
      </c>
      <c r="M27">
        <v>0.75435865952234304</v>
      </c>
      <c r="N27">
        <v>0.75435865952234304</v>
      </c>
    </row>
    <row r="28" spans="1:14" x14ac:dyDescent="0.3">
      <c r="A28" t="s">
        <v>3</v>
      </c>
      <c r="B28">
        <v>-0.91503956061231195</v>
      </c>
      <c r="C28">
        <v>-0.91503956061231195</v>
      </c>
      <c r="D28">
        <v>-0.91503956061231195</v>
      </c>
      <c r="E28">
        <v>-0.91503956061231195</v>
      </c>
      <c r="F28">
        <v>-0.93939750483778695</v>
      </c>
      <c r="G28">
        <v>-0.93939750483778695</v>
      </c>
      <c r="H28">
        <v>-0.93939750483778695</v>
      </c>
      <c r="I28">
        <v>-0.93939750483778695</v>
      </c>
      <c r="J28">
        <v>-0.93939750483778695</v>
      </c>
      <c r="K28">
        <v>-0.93987149582793295</v>
      </c>
      <c r="L28">
        <v>-0.93987149582793295</v>
      </c>
      <c r="M28">
        <v>-0.93987149582793295</v>
      </c>
      <c r="N28">
        <v>-0.93987149582793295</v>
      </c>
    </row>
    <row r="29" spans="1:14" x14ac:dyDescent="0.3">
      <c r="A29" t="s">
        <v>4</v>
      </c>
      <c r="B29">
        <v>-0.18253677311962299</v>
      </c>
      <c r="C29">
        <v>-0.18253677311962299</v>
      </c>
      <c r="D29">
        <v>-0.18253677311962299</v>
      </c>
      <c r="E29">
        <v>-0.18253677311962299</v>
      </c>
      <c r="F29">
        <v>-0.45750707997217199</v>
      </c>
      <c r="G29">
        <v>-0.45750707997217199</v>
      </c>
      <c r="H29">
        <v>-0.45750707997217199</v>
      </c>
      <c r="I29">
        <v>-0.45750707997217199</v>
      </c>
      <c r="J29">
        <v>-0.45750707997217199</v>
      </c>
      <c r="K29">
        <v>-0.53627178895232397</v>
      </c>
      <c r="L29">
        <v>-0.53627178895232397</v>
      </c>
      <c r="M29">
        <v>-0.53627178895232397</v>
      </c>
      <c r="N29">
        <v>-0.53627178895232397</v>
      </c>
    </row>
    <row r="31" spans="1:14" x14ac:dyDescent="0.3">
      <c r="B31" s="4">
        <f>(B27-A21)</f>
        <v>-1.1102230246251565E-16</v>
      </c>
      <c r="C31" s="4">
        <f>(C27-A21)</f>
        <v>-1.1102230246251565E-16</v>
      </c>
      <c r="D31" s="4">
        <f>(D27-A21)</f>
        <v>-1.1102230246251565E-16</v>
      </c>
      <c r="E31" s="4">
        <f>(E27-A21)</f>
        <v>-1.1102230246251565E-16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-3.3306690738754696E-16</v>
      </c>
      <c r="C32" s="4">
        <f t="shared" ref="C32:C33" si="9">(C28-A22)</f>
        <v>-3.3306690738754696E-16</v>
      </c>
      <c r="D32" s="4">
        <f t="shared" ref="D32:D33" si="10">(D28-A22)</f>
        <v>-3.3306690738754696E-16</v>
      </c>
      <c r="E32" s="4">
        <f t="shared" ref="E32:E33" si="11">(E28-A22)</f>
        <v>-3.3306690738754696E-16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-2.7755575615628914E-16</v>
      </c>
      <c r="C33" s="4">
        <f t="shared" si="9"/>
        <v>-2.7755575615628914E-16</v>
      </c>
      <c r="D33" s="4">
        <f t="shared" si="10"/>
        <v>-2.7755575615628914E-16</v>
      </c>
      <c r="E33" s="4">
        <f t="shared" si="11"/>
        <v>-2.7755575615628914E-16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3C0E-273E-40B0-B9B1-79DE3537F4FF}">
  <dimension ref="A1:X33"/>
  <sheetViews>
    <sheetView topLeftCell="P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1</v>
      </c>
      <c r="C3" s="1">
        <v>0</v>
      </c>
      <c r="D3" s="1">
        <v>0</v>
      </c>
      <c r="F3" t="s">
        <v>2</v>
      </c>
      <c r="G3">
        <v>0.72038366913257967</v>
      </c>
      <c r="H3">
        <v>0</v>
      </c>
      <c r="I3">
        <v>0</v>
      </c>
      <c r="K3" t="s">
        <v>2</v>
      </c>
      <c r="L3">
        <v>0.43067574154070848</v>
      </c>
      <c r="M3">
        <v>0</v>
      </c>
      <c r="N3">
        <v>0</v>
      </c>
      <c r="P3" t="s">
        <v>2</v>
      </c>
      <c r="Q3">
        <v>1.0000000729745253</v>
      </c>
      <c r="R3">
        <v>0</v>
      </c>
      <c r="S3">
        <v>0</v>
      </c>
      <c r="U3" t="s">
        <v>2</v>
      </c>
      <c r="V3">
        <v>0.99999996437927519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2</v>
      </c>
      <c r="D4" s="1">
        <v>0</v>
      </c>
      <c r="F4" t="s">
        <v>3</v>
      </c>
      <c r="G4">
        <v>0</v>
      </c>
      <c r="H4">
        <v>2.0001806376428304</v>
      </c>
      <c r="I4">
        <v>0</v>
      </c>
      <c r="K4" t="s">
        <v>3</v>
      </c>
      <c r="L4">
        <v>0</v>
      </c>
      <c r="M4">
        <v>1.8683254461948171</v>
      </c>
      <c r="N4">
        <v>0</v>
      </c>
      <c r="P4" t="s">
        <v>3</v>
      </c>
      <c r="Q4">
        <v>0</v>
      </c>
      <c r="R4">
        <v>1.999963826102618</v>
      </c>
      <c r="S4">
        <v>0</v>
      </c>
      <c r="U4" t="s">
        <v>3</v>
      </c>
      <c r="V4">
        <v>0</v>
      </c>
      <c r="W4">
        <v>1.9999967628314881</v>
      </c>
      <c r="X4">
        <v>0</v>
      </c>
    </row>
    <row r="5" spans="1:24" x14ac:dyDescent="0.3">
      <c r="A5" s="1" t="s">
        <v>4</v>
      </c>
      <c r="B5" s="1">
        <v>-1</v>
      </c>
      <c r="C5" s="1">
        <v>-2</v>
      </c>
      <c r="D5" s="1">
        <v>0</v>
      </c>
      <c r="F5" t="s">
        <v>4</v>
      </c>
      <c r="G5">
        <v>-0.96065229313525469</v>
      </c>
      <c r="H5">
        <v>-2.0346521404862163</v>
      </c>
      <c r="I5">
        <v>0</v>
      </c>
      <c r="K5" t="s">
        <v>4</v>
      </c>
      <c r="L5">
        <v>-0.92824282060330221</v>
      </c>
      <c r="M5">
        <v>-2.0457050825485146</v>
      </c>
      <c r="N5">
        <v>0</v>
      </c>
      <c r="P5" t="s">
        <v>4</v>
      </c>
      <c r="Q5">
        <v>-1.0001061649490615</v>
      </c>
      <c r="R5">
        <v>-1.9998996971019742</v>
      </c>
      <c r="S5">
        <v>0</v>
      </c>
      <c r="U5" t="s">
        <v>4</v>
      </c>
      <c r="V5">
        <v>-1.0003665630061012</v>
      </c>
      <c r="W5">
        <v>-1.9996854511645139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7.818529248775867E-2</v>
      </c>
      <c r="H8">
        <f t="shared" ref="H8:I10" si="0">(H3-C3)^2</f>
        <v>0</v>
      </c>
      <c r="I8">
        <f t="shared" si="0"/>
        <v>0</v>
      </c>
      <c r="L8">
        <f>(L3-B3)^2</f>
        <v>0.32413011127022212</v>
      </c>
      <c r="M8">
        <f t="shared" ref="M8:N10" si="1">(M3-C3)^2</f>
        <v>0</v>
      </c>
      <c r="N8">
        <f t="shared" si="1"/>
        <v>0</v>
      </c>
      <c r="Q8">
        <f>(Q3-B3)^2</f>
        <v>5.3252813444254602E-15</v>
      </c>
      <c r="R8">
        <f t="shared" ref="R8:S10" si="2">(R3-C3)^2</f>
        <v>0</v>
      </c>
      <c r="S8">
        <f t="shared" si="2"/>
        <v>0</v>
      </c>
      <c r="V8">
        <f>(V3-B3)^2</f>
        <v>1.2688360362905755E-15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3.2629958007317208E-8</v>
      </c>
      <c r="I9">
        <f t="shared" si="0"/>
        <v>0</v>
      </c>
      <c r="L9">
        <f t="shared" ref="L9:L10" si="5">(L4-B4)^2</f>
        <v>0</v>
      </c>
      <c r="M9">
        <f t="shared" si="1"/>
        <v>1.7338188119794005E-2</v>
      </c>
      <c r="N9">
        <f t="shared" si="1"/>
        <v>0</v>
      </c>
      <c r="Q9">
        <f t="shared" ref="Q9:Q10" si="6">(Q4-B4)^2</f>
        <v>0</v>
      </c>
      <c r="R9">
        <f t="shared" si="2"/>
        <v>1.3085508518016389E-9</v>
      </c>
      <c r="S9">
        <f t="shared" si="2"/>
        <v>0</v>
      </c>
      <c r="V9">
        <f t="shared" ref="V9:V10" si="7">(V4-B4)^2</f>
        <v>0</v>
      </c>
      <c r="W9">
        <f t="shared" si="3"/>
        <v>1.0479259974539873E-11</v>
      </c>
      <c r="X9">
        <f t="shared" si="3"/>
        <v>0</v>
      </c>
    </row>
    <row r="10" spans="1:24" x14ac:dyDescent="0.3">
      <c r="G10">
        <f t="shared" si="4"/>
        <v>1.5482420355139254E-3</v>
      </c>
      <c r="H10">
        <f t="shared" si="0"/>
        <v>1.2007708402764737E-3</v>
      </c>
      <c r="I10">
        <f t="shared" si="0"/>
        <v>0</v>
      </c>
      <c r="L10">
        <f t="shared" si="5"/>
        <v>5.1490927949698695E-3</v>
      </c>
      <c r="M10">
        <f t="shared" si="1"/>
        <v>2.0889545707665318E-3</v>
      </c>
      <c r="N10">
        <f t="shared" si="1"/>
        <v>0</v>
      </c>
      <c r="Q10">
        <f t="shared" si="6"/>
        <v>1.1270996409222446E-8</v>
      </c>
      <c r="R10">
        <f t="shared" si="2"/>
        <v>1.0060671352366294E-8</v>
      </c>
      <c r="S10">
        <f t="shared" si="2"/>
        <v>0</v>
      </c>
      <c r="V10">
        <f t="shared" si="7"/>
        <v>1.343684374419202E-7</v>
      </c>
      <c r="W10">
        <f t="shared" si="3"/>
        <v>9.8940969905658327E-8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8.0934337993507091E-2</v>
      </c>
      <c r="L13">
        <f>SUM(L8:N10)</f>
        <v>0.34870634675575252</v>
      </c>
      <c r="Q13">
        <f>SUM(Q8:S10)</f>
        <v>2.2640223938671726E-8</v>
      </c>
      <c r="V13">
        <f>SUM(V8:X10)</f>
        <v>2.3331988787638911E-7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0.63370169827028155</v>
      </c>
      <c r="B21">
        <v>0.73321122912693049</v>
      </c>
      <c r="C21">
        <v>0.75435873026723155</v>
      </c>
    </row>
    <row r="22" spans="1:14" x14ac:dyDescent="0.3">
      <c r="A22">
        <v>0.8747437280236432</v>
      </c>
      <c r="B22">
        <v>0.96025623310389063</v>
      </c>
      <c r="C22">
        <v>0.97145740624303145</v>
      </c>
    </row>
    <row r="23" spans="1:14" x14ac:dyDescent="0.3">
      <c r="A23">
        <v>-3.0850422500545904</v>
      </c>
      <c r="B23">
        <v>-5.6980282847416275</v>
      </c>
      <c r="C23">
        <v>-7.0692205608733945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0.633701698270282</v>
      </c>
      <c r="C27">
        <v>0.633701698270282</v>
      </c>
      <c r="D27">
        <v>0.633701698270282</v>
      </c>
      <c r="E27">
        <v>0.633701698270282</v>
      </c>
      <c r="F27">
        <v>0.73321122912693004</v>
      </c>
      <c r="G27">
        <v>0.73321122912693004</v>
      </c>
      <c r="H27">
        <v>0.73321122912693004</v>
      </c>
      <c r="I27">
        <v>0.73321122912693004</v>
      </c>
      <c r="J27">
        <v>0.73321122912693004</v>
      </c>
      <c r="K27">
        <v>0.75435873026723199</v>
      </c>
      <c r="L27">
        <v>0.75435873026723199</v>
      </c>
      <c r="M27">
        <v>0.75435873026723199</v>
      </c>
      <c r="N27">
        <v>0.75435873026723199</v>
      </c>
    </row>
    <row r="28" spans="1:14" x14ac:dyDescent="0.3">
      <c r="A28" t="s">
        <v>3</v>
      </c>
      <c r="B28">
        <v>0.87474372802364297</v>
      </c>
      <c r="C28">
        <v>0.87474372802364297</v>
      </c>
      <c r="D28">
        <v>0.87474372802364297</v>
      </c>
      <c r="E28">
        <v>0.87474372802364297</v>
      </c>
      <c r="F28">
        <v>0.96025623310389097</v>
      </c>
      <c r="G28">
        <v>0.96025623310389097</v>
      </c>
      <c r="H28">
        <v>0.96025623310389097</v>
      </c>
      <c r="I28">
        <v>0.96025623310389097</v>
      </c>
      <c r="J28">
        <v>0.96025623310389097</v>
      </c>
      <c r="K28">
        <v>0.97145740624303101</v>
      </c>
      <c r="L28">
        <v>0.97145740624303101</v>
      </c>
      <c r="M28">
        <v>0.97145740624303101</v>
      </c>
      <c r="N28">
        <v>0.97145740624303101</v>
      </c>
    </row>
    <row r="29" spans="1:14" x14ac:dyDescent="0.3">
      <c r="A29" t="s">
        <v>4</v>
      </c>
      <c r="B29">
        <v>-3.08504225005459</v>
      </c>
      <c r="C29">
        <v>-3.08504225005459</v>
      </c>
      <c r="D29">
        <v>-3.08504225005459</v>
      </c>
      <c r="E29">
        <v>-3.08504225005459</v>
      </c>
      <c r="F29">
        <v>-5.6980282847416301</v>
      </c>
      <c r="G29">
        <v>-5.6980282847416301</v>
      </c>
      <c r="H29">
        <v>-5.6980282847416301</v>
      </c>
      <c r="I29">
        <v>-5.6980282847416301</v>
      </c>
      <c r="J29">
        <v>-5.6980282847416301</v>
      </c>
      <c r="K29">
        <v>-7.06922056087339</v>
      </c>
      <c r="L29">
        <v>-7.06922056087339</v>
      </c>
      <c r="M29">
        <v>-7.06922056087339</v>
      </c>
      <c r="N29">
        <v>-7.06922056087339</v>
      </c>
    </row>
    <row r="31" spans="1:14" x14ac:dyDescent="0.3">
      <c r="B31" s="4">
        <f>(B27-A21)</f>
        <v>4.4408920985006262E-16</v>
      </c>
      <c r="C31" s="4">
        <f>(C27-A21)</f>
        <v>4.4408920985006262E-16</v>
      </c>
      <c r="D31" s="4">
        <f>(D27-A21)</f>
        <v>4.4408920985006262E-16</v>
      </c>
      <c r="E31" s="4">
        <f>(E27-A21)</f>
        <v>4.4408920985006262E-16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-2.2204460492503131E-16</v>
      </c>
      <c r="C32" s="4">
        <f t="shared" ref="C32:C33" si="9">(C28-A22)</f>
        <v>-2.2204460492503131E-16</v>
      </c>
      <c r="D32" s="4">
        <f t="shared" ref="D32:D33" si="10">(D28-A22)</f>
        <v>-2.2204460492503131E-16</v>
      </c>
      <c r="E32" s="4">
        <f t="shared" ref="E32:E33" si="11">(E28-A22)</f>
        <v>-2.2204460492503131E-16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4.4408920985006262E-16</v>
      </c>
      <c r="C33" s="4">
        <f t="shared" si="9"/>
        <v>4.4408920985006262E-16</v>
      </c>
      <c r="D33" s="4">
        <f t="shared" si="10"/>
        <v>4.4408920985006262E-16</v>
      </c>
      <c r="E33" s="4">
        <f t="shared" si="11"/>
        <v>4.4408920985006262E-16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443A-45B7-4961-BC3E-4875759A7936}">
  <dimension ref="A1:X33"/>
  <sheetViews>
    <sheetView topLeftCell="O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1</v>
      </c>
      <c r="C3" s="1">
        <v>0</v>
      </c>
      <c r="D3" s="1">
        <v>0</v>
      </c>
      <c r="F3" t="s">
        <v>2</v>
      </c>
      <c r="G3">
        <v>0.7406276916953618</v>
      </c>
      <c r="H3">
        <v>0</v>
      </c>
      <c r="I3">
        <v>0</v>
      </c>
      <c r="K3" t="s">
        <v>2</v>
      </c>
      <c r="L3">
        <v>0.95062739574399069</v>
      </c>
      <c r="M3">
        <v>0</v>
      </c>
      <c r="N3">
        <v>0</v>
      </c>
      <c r="P3" t="s">
        <v>2</v>
      </c>
      <c r="Q3">
        <v>0.99997990788177715</v>
      </c>
      <c r="R3">
        <v>0</v>
      </c>
      <c r="S3">
        <v>0</v>
      </c>
      <c r="U3" t="s">
        <v>2</v>
      </c>
      <c r="V3">
        <v>1.0000001071139719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-2</v>
      </c>
      <c r="D4" s="1">
        <v>0</v>
      </c>
      <c r="F4" t="s">
        <v>3</v>
      </c>
      <c r="G4">
        <v>0</v>
      </c>
      <c r="H4">
        <v>-7.20685442412125</v>
      </c>
      <c r="I4">
        <v>0</v>
      </c>
      <c r="K4" t="s">
        <v>3</v>
      </c>
      <c r="L4">
        <v>0</v>
      </c>
      <c r="M4">
        <v>-2.807779429301676</v>
      </c>
      <c r="N4">
        <v>0</v>
      </c>
      <c r="P4" t="s">
        <v>3</v>
      </c>
      <c r="Q4">
        <v>0</v>
      </c>
      <c r="R4">
        <v>-1.9998554966882651</v>
      </c>
      <c r="S4">
        <v>0</v>
      </c>
      <c r="U4" t="s">
        <v>3</v>
      </c>
      <c r="V4">
        <v>0</v>
      </c>
      <c r="W4">
        <v>-1.9999996951160963</v>
      </c>
      <c r="X4">
        <v>0</v>
      </c>
    </row>
    <row r="5" spans="1:24" x14ac:dyDescent="0.3">
      <c r="A5" s="1" t="s">
        <v>4</v>
      </c>
      <c r="B5" s="1">
        <v>2</v>
      </c>
      <c r="C5" s="1">
        <v>-1</v>
      </c>
      <c r="D5" s="1">
        <v>0</v>
      </c>
      <c r="F5" t="s">
        <v>4</v>
      </c>
      <c r="G5">
        <v>-3.4689234704205971E-2</v>
      </c>
      <c r="H5">
        <v>-2.8100048813651437</v>
      </c>
      <c r="I5">
        <v>0</v>
      </c>
      <c r="K5" t="s">
        <v>4</v>
      </c>
      <c r="L5">
        <v>0.14287726728171807</v>
      </c>
      <c r="M5">
        <v>-0.38498342726550244</v>
      </c>
      <c r="N5">
        <v>0</v>
      </c>
      <c r="P5" t="s">
        <v>4</v>
      </c>
      <c r="Q5">
        <v>1.9999128039018685</v>
      </c>
      <c r="R5">
        <v>-0.99987526017476103</v>
      </c>
      <c r="S5">
        <v>0</v>
      </c>
      <c r="U5" t="s">
        <v>4</v>
      </c>
      <c r="V5">
        <v>1.9999284766146981</v>
      </c>
      <c r="W5">
        <v>-0.99981155675326738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6.7273994315276295E-2</v>
      </c>
      <c r="H8">
        <f t="shared" ref="H8:I10" si="0">(H3-C3)^2</f>
        <v>0</v>
      </c>
      <c r="I8">
        <f t="shared" si="0"/>
        <v>0</v>
      </c>
      <c r="L8">
        <f>(L3-B3)^2</f>
        <v>2.4376540510205086E-3</v>
      </c>
      <c r="M8">
        <f t="shared" ref="M8:N10" si="1">(M3-C3)^2</f>
        <v>0</v>
      </c>
      <c r="N8">
        <f t="shared" si="1"/>
        <v>0</v>
      </c>
      <c r="Q8">
        <f>(Q3-B3)^2</f>
        <v>4.0369321468088099E-10</v>
      </c>
      <c r="R8">
        <f t="shared" ref="R8:S10" si="2">(R3-C3)^2</f>
        <v>0</v>
      </c>
      <c r="S8">
        <f t="shared" si="2"/>
        <v>0</v>
      </c>
      <c r="V8">
        <f>(V3-B3)^2</f>
        <v>1.1473402979285264E-14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27.111332993991034</v>
      </c>
      <c r="I9">
        <f t="shared" si="0"/>
        <v>0</v>
      </c>
      <c r="L9">
        <f t="shared" ref="L9:L10" si="5">(L4-B4)^2</f>
        <v>0</v>
      </c>
      <c r="M9">
        <f t="shared" si="1"/>
        <v>0.65250760640294136</v>
      </c>
      <c r="N9">
        <f t="shared" si="1"/>
        <v>0</v>
      </c>
      <c r="Q9">
        <f t="shared" ref="Q9:Q10" si="6">(Q4-B4)^2</f>
        <v>0</v>
      </c>
      <c r="R9">
        <f t="shared" si="2"/>
        <v>2.0881207102347381E-8</v>
      </c>
      <c r="S9">
        <f t="shared" si="2"/>
        <v>0</v>
      </c>
      <c r="V9">
        <f t="shared" ref="V9:V10" si="7">(V4-B4)^2</f>
        <v>0</v>
      </c>
      <c r="W9">
        <f t="shared" si="3"/>
        <v>9.2954194722544852E-14</v>
      </c>
      <c r="X9">
        <f t="shared" si="3"/>
        <v>0</v>
      </c>
    </row>
    <row r="10" spans="1:24" x14ac:dyDescent="0.3">
      <c r="G10">
        <f t="shared" si="4"/>
        <v>4.139960281821188</v>
      </c>
      <c r="H10">
        <f t="shared" si="0"/>
        <v>3.2761176705656481</v>
      </c>
      <c r="I10">
        <f t="shared" si="0"/>
        <v>0</v>
      </c>
      <c r="L10">
        <f t="shared" si="5"/>
        <v>3.4489048443790193</v>
      </c>
      <c r="M10">
        <f t="shared" si="1"/>
        <v>0.37824538473808761</v>
      </c>
      <c r="N10">
        <f t="shared" si="1"/>
        <v>0</v>
      </c>
      <c r="Q10">
        <f t="shared" si="6"/>
        <v>7.6031595293510299E-9</v>
      </c>
      <c r="R10">
        <f t="shared" si="2"/>
        <v>1.5560024000649548E-8</v>
      </c>
      <c r="S10">
        <f t="shared" si="2"/>
        <v>0</v>
      </c>
      <c r="V10">
        <f t="shared" si="7"/>
        <v>5.1155946450468002E-9</v>
      </c>
      <c r="W10">
        <f t="shared" si="3"/>
        <v>3.5510857239129938E-8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34.594684940693149</v>
      </c>
      <c r="L13">
        <f>SUM(L8:N10)</f>
        <v>4.4820954895710683</v>
      </c>
      <c r="Q13">
        <f>SUM(Q8:S10)</f>
        <v>4.4448083847028843E-8</v>
      </c>
      <c r="V13">
        <f>SUM(V8:X10)</f>
        <v>4.0626556311774439E-8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0.63369866342738512</v>
      </c>
      <c r="B21">
        <v>0.73320986121447351</v>
      </c>
      <c r="C21">
        <v>0.75435868167170672</v>
      </c>
    </row>
    <row r="22" spans="1:14" x14ac:dyDescent="0.3">
      <c r="A22">
        <v>-0.91500206884387525</v>
      </c>
      <c r="B22">
        <v>-0.93939739276708978</v>
      </c>
      <c r="C22">
        <v>-0.93987149979855333</v>
      </c>
    </row>
    <row r="23" spans="1:14" x14ac:dyDescent="0.3">
      <c r="A23">
        <v>0.78712039056337735</v>
      </c>
      <c r="B23">
        <v>0.89897000218830114</v>
      </c>
      <c r="C23">
        <v>0.91854485138196806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0.63369866342738501</v>
      </c>
      <c r="C27">
        <v>0.63369866342738501</v>
      </c>
      <c r="D27">
        <v>0.63369866342738501</v>
      </c>
      <c r="E27">
        <v>0.63369866342738501</v>
      </c>
      <c r="F27">
        <v>0.73320986121447396</v>
      </c>
      <c r="G27">
        <v>0.73320986121447396</v>
      </c>
      <c r="H27">
        <v>0.73320986121447396</v>
      </c>
      <c r="I27">
        <v>0.73320986121447396</v>
      </c>
      <c r="J27">
        <v>0.73320986121447396</v>
      </c>
      <c r="K27">
        <v>0.75435868167170705</v>
      </c>
      <c r="L27">
        <v>0.75435868167170705</v>
      </c>
      <c r="M27">
        <v>0.75435868167170705</v>
      </c>
      <c r="N27">
        <v>0.75435868167170705</v>
      </c>
    </row>
    <row r="28" spans="1:14" x14ac:dyDescent="0.3">
      <c r="A28" t="s">
        <v>3</v>
      </c>
      <c r="B28">
        <v>-0.91500206884387503</v>
      </c>
      <c r="C28">
        <v>-0.91500206884387503</v>
      </c>
      <c r="D28">
        <v>-0.91500206884387503</v>
      </c>
      <c r="E28">
        <v>-0.91500206884387503</v>
      </c>
      <c r="F28">
        <v>-0.93939739276709</v>
      </c>
      <c r="G28">
        <v>-0.93939739276709</v>
      </c>
      <c r="H28">
        <v>-0.93939739276709</v>
      </c>
      <c r="I28">
        <v>-0.93939739276709</v>
      </c>
      <c r="J28">
        <v>-0.93939739276709</v>
      </c>
      <c r="K28">
        <v>-0.939871499798553</v>
      </c>
      <c r="L28">
        <v>-0.939871499798553</v>
      </c>
      <c r="M28">
        <v>-0.939871499798553</v>
      </c>
      <c r="N28">
        <v>-0.939871499798553</v>
      </c>
    </row>
    <row r="29" spans="1:14" x14ac:dyDescent="0.3">
      <c r="A29" t="s">
        <v>4</v>
      </c>
      <c r="B29">
        <v>0.78712039056337701</v>
      </c>
      <c r="C29">
        <v>0.78712039056337701</v>
      </c>
      <c r="D29">
        <v>0.78712039056337701</v>
      </c>
      <c r="E29">
        <v>0.78712039056337701</v>
      </c>
      <c r="F29">
        <v>0.89897000218830103</v>
      </c>
      <c r="G29">
        <v>0.89897000218830103</v>
      </c>
      <c r="H29">
        <v>0.89897000218830103</v>
      </c>
      <c r="I29">
        <v>0.89897000218830103</v>
      </c>
      <c r="J29">
        <v>0.89897000218830103</v>
      </c>
      <c r="K29">
        <v>0.91854485138196795</v>
      </c>
      <c r="L29">
        <v>0.91854485138196795</v>
      </c>
      <c r="M29">
        <v>0.91854485138196795</v>
      </c>
      <c r="N29">
        <v>0.91854485138196795</v>
      </c>
    </row>
    <row r="31" spans="1:14" x14ac:dyDescent="0.3">
      <c r="B31" s="4">
        <f>(B27-A21)</f>
        <v>-1.1102230246251565E-16</v>
      </c>
      <c r="C31" s="4">
        <f>(C27-A21)</f>
        <v>-1.1102230246251565E-16</v>
      </c>
      <c r="D31" s="4">
        <f>(D27-A21)</f>
        <v>-1.1102230246251565E-16</v>
      </c>
      <c r="E31" s="4">
        <f>(E27-A21)</f>
        <v>-1.1102230246251565E-16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2.2204460492503131E-16</v>
      </c>
      <c r="C32" s="4">
        <f t="shared" ref="C32:C33" si="9">(C28-A22)</f>
        <v>2.2204460492503131E-16</v>
      </c>
      <c r="D32" s="4">
        <f t="shared" ref="D32:D33" si="10">(D28-A22)</f>
        <v>2.2204460492503131E-16</v>
      </c>
      <c r="E32" s="4">
        <f t="shared" ref="E32:E33" si="11">(E28-A22)</f>
        <v>2.2204460492503131E-16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-3.3306690738754696E-16</v>
      </c>
      <c r="C33" s="4">
        <f t="shared" si="9"/>
        <v>-3.3306690738754696E-16</v>
      </c>
      <c r="D33" s="4">
        <f t="shared" si="10"/>
        <v>-3.3306690738754696E-16</v>
      </c>
      <c r="E33" s="4">
        <f t="shared" si="11"/>
        <v>-3.3306690738754696E-16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7A49-61E8-4C99-9D6C-D6187F621F9F}">
  <dimension ref="A1:X33"/>
  <sheetViews>
    <sheetView topLeftCell="Q1" zoomScale="78" workbookViewId="0">
      <selection activeCell="V18" sqref="V18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1</v>
      </c>
      <c r="C3" s="1">
        <v>0</v>
      </c>
      <c r="D3" s="1">
        <v>0</v>
      </c>
      <c r="F3" t="s">
        <v>2</v>
      </c>
      <c r="G3">
        <v>1.0006494170954874</v>
      </c>
      <c r="H3">
        <v>0</v>
      </c>
      <c r="I3">
        <v>0</v>
      </c>
      <c r="K3" t="s">
        <v>2</v>
      </c>
      <c r="L3">
        <v>0.2220515702089397</v>
      </c>
      <c r="M3">
        <v>0</v>
      </c>
      <c r="N3">
        <v>0</v>
      </c>
      <c r="P3" t="s">
        <v>2</v>
      </c>
      <c r="Q3">
        <v>0.99999269424912174</v>
      </c>
      <c r="R3">
        <v>0</v>
      </c>
      <c r="S3">
        <v>0</v>
      </c>
      <c r="U3" t="s">
        <v>2</v>
      </c>
      <c r="V3">
        <v>1.0000002875386351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-0.99988371941742382</v>
      </c>
      <c r="I4">
        <v>0</v>
      </c>
      <c r="K4" t="s">
        <v>3</v>
      </c>
      <c r="L4">
        <v>0</v>
      </c>
      <c r="M4">
        <v>-0.68919792745893338</v>
      </c>
      <c r="N4">
        <v>0</v>
      </c>
      <c r="P4" t="s">
        <v>3</v>
      </c>
      <c r="Q4">
        <v>0</v>
      </c>
      <c r="R4">
        <v>-0.9999793559176513</v>
      </c>
      <c r="S4">
        <v>0</v>
      </c>
      <c r="U4" t="s">
        <v>3</v>
      </c>
      <c r="V4">
        <v>0</v>
      </c>
      <c r="W4">
        <v>-0.99999992511974067</v>
      </c>
      <c r="X4">
        <v>0</v>
      </c>
    </row>
    <row r="5" spans="1:24" x14ac:dyDescent="0.3">
      <c r="A5" s="1" t="s">
        <v>4</v>
      </c>
      <c r="B5" s="1">
        <v>2</v>
      </c>
      <c r="C5" s="1">
        <v>-2</v>
      </c>
      <c r="D5" s="1">
        <v>0</v>
      </c>
      <c r="F5" t="s">
        <v>4</v>
      </c>
      <c r="G5">
        <v>1.9850324653163298</v>
      </c>
      <c r="H5">
        <v>-1.982324854627824</v>
      </c>
      <c r="I5">
        <v>0</v>
      </c>
      <c r="K5" t="s">
        <v>4</v>
      </c>
      <c r="L5">
        <v>0.18946326500014504</v>
      </c>
      <c r="M5">
        <v>-1.3609230737032516</v>
      </c>
      <c r="N5">
        <v>0</v>
      </c>
      <c r="P5" t="s">
        <v>4</v>
      </c>
      <c r="Q5">
        <v>1.999960427519909</v>
      </c>
      <c r="R5">
        <v>-1.9999309300000452</v>
      </c>
      <c r="S5">
        <v>0</v>
      </c>
      <c r="U5" t="s">
        <v>4</v>
      </c>
      <c r="V5">
        <v>1.9999317958261675</v>
      </c>
      <c r="W5">
        <v>-1.9998527997880533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4.2174256391126647E-7</v>
      </c>
      <c r="H8">
        <f t="shared" ref="H8:I10" si="0">(H3-C3)^2</f>
        <v>0</v>
      </c>
      <c r="I8">
        <f t="shared" si="0"/>
        <v>0</v>
      </c>
      <c r="L8">
        <f>(L3-B3)^2</f>
        <v>0.60520375941437621</v>
      </c>
      <c r="M8">
        <f t="shared" ref="M8:N10" si="1">(M3-C3)^2</f>
        <v>0</v>
      </c>
      <c r="N8">
        <f t="shared" si="1"/>
        <v>0</v>
      </c>
      <c r="Q8">
        <f>(Q3-B3)^2</f>
        <v>5.3373995895218142E-11</v>
      </c>
      <c r="R8">
        <f t="shared" ref="R8:S10" si="2">(R3-C3)^2</f>
        <v>0</v>
      </c>
      <c r="S8">
        <f t="shared" si="2"/>
        <v>0</v>
      </c>
      <c r="V8">
        <f>(V3-B3)^2</f>
        <v>8.2678466689091893E-14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1.352117388425538E-8</v>
      </c>
      <c r="I9">
        <f t="shared" si="0"/>
        <v>0</v>
      </c>
      <c r="L9">
        <f t="shared" ref="L9:L10" si="5">(L4-B4)^2</f>
        <v>0</v>
      </c>
      <c r="M9">
        <f t="shared" si="1"/>
        <v>9.6597928295822436E-2</v>
      </c>
      <c r="N9">
        <f t="shared" si="1"/>
        <v>0</v>
      </c>
      <c r="Q9">
        <f t="shared" ref="Q9:Q10" si="6">(Q4-B4)^2</f>
        <v>0</v>
      </c>
      <c r="R9">
        <f t="shared" si="2"/>
        <v>4.2617813601980465E-10</v>
      </c>
      <c r="S9">
        <f t="shared" si="2"/>
        <v>0</v>
      </c>
      <c r="V9">
        <f t="shared" ref="V9:V10" si="7">(V4-B4)^2</f>
        <v>0</v>
      </c>
      <c r="W9">
        <f t="shared" si="3"/>
        <v>5.6070532367961918E-15</v>
      </c>
      <c r="X9">
        <f t="shared" si="3"/>
        <v>0</v>
      </c>
    </row>
    <row r="10" spans="1:24" x14ac:dyDescent="0.3">
      <c r="G10">
        <f t="shared" si="4"/>
        <v>2.2402709450686982E-4</v>
      </c>
      <c r="H10">
        <f t="shared" si="0"/>
        <v>3.1241076392755327E-4</v>
      </c>
      <c r="I10">
        <f t="shared" si="0"/>
        <v>0</v>
      </c>
      <c r="L10">
        <f t="shared" si="5"/>
        <v>3.2780432687839349</v>
      </c>
      <c r="M10">
        <f t="shared" si="1"/>
        <v>0.40841931772489959</v>
      </c>
      <c r="N10">
        <f t="shared" si="1"/>
        <v>0</v>
      </c>
      <c r="Q10">
        <f t="shared" si="6"/>
        <v>1.5659811805534003E-9</v>
      </c>
      <c r="R10">
        <f t="shared" si="2"/>
        <v>4.7706648937586039E-9</v>
      </c>
      <c r="S10">
        <f t="shared" si="2"/>
        <v>0</v>
      </c>
      <c r="V10">
        <f t="shared" si="7"/>
        <v>4.6518093281690456E-9</v>
      </c>
      <c r="W10">
        <f t="shared" si="3"/>
        <v>2.1667902397152346E-8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5.3687312217221863E-4</v>
      </c>
      <c r="L13">
        <f>SUM(L8:N10)</f>
        <v>4.3882642742190328</v>
      </c>
      <c r="Q13">
        <f>SUM(Q8:S10)</f>
        <v>6.8161982062270272E-9</v>
      </c>
      <c r="V13">
        <f>SUM(V8:X10)</f>
        <v>2.6319800010841316E-8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0.63370582995618707</v>
      </c>
      <c r="B21">
        <v>0.73320986610298378</v>
      </c>
      <c r="C21">
        <v>0.75435864824302534</v>
      </c>
    </row>
    <row r="22" spans="1:14" x14ac:dyDescent="0.3">
      <c r="A22">
        <v>-0.54237337776459882</v>
      </c>
      <c r="B22">
        <v>-0.56652723323192944</v>
      </c>
      <c r="C22">
        <v>-0.56746431720395851</v>
      </c>
    </row>
    <row r="23" spans="1:14" x14ac:dyDescent="0.3">
      <c r="A23">
        <v>0.61901320547891325</v>
      </c>
      <c r="B23">
        <v>0.78581580144840735</v>
      </c>
      <c r="C23">
        <v>0.82005694017093833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0.63370582995618696</v>
      </c>
      <c r="C27">
        <v>0.63370582995618696</v>
      </c>
      <c r="D27">
        <v>0.63370582995618696</v>
      </c>
      <c r="E27">
        <v>0.63370582995618696</v>
      </c>
      <c r="F27">
        <v>0.733209866102984</v>
      </c>
      <c r="G27">
        <v>0.733209866102984</v>
      </c>
      <c r="H27">
        <v>0.733209866102984</v>
      </c>
      <c r="I27">
        <v>0.733209866102984</v>
      </c>
      <c r="J27">
        <v>0.733209866102984</v>
      </c>
      <c r="K27">
        <v>0.75435864824302501</v>
      </c>
      <c r="L27">
        <v>0.75435864824302501</v>
      </c>
      <c r="M27">
        <v>0.75435864824302501</v>
      </c>
      <c r="N27">
        <v>0.75435864824302501</v>
      </c>
    </row>
    <row r="28" spans="1:14" x14ac:dyDescent="0.3">
      <c r="A28" t="s">
        <v>3</v>
      </c>
      <c r="B28">
        <v>-0.54237337776459904</v>
      </c>
      <c r="C28">
        <v>-0.54237337776459904</v>
      </c>
      <c r="D28">
        <v>-0.54237337776459904</v>
      </c>
      <c r="E28">
        <v>-0.54237337776459904</v>
      </c>
      <c r="F28">
        <v>-0.56652723323192899</v>
      </c>
      <c r="G28">
        <v>-0.56652723323192899</v>
      </c>
      <c r="H28">
        <v>-0.56652723323192899</v>
      </c>
      <c r="I28">
        <v>-0.56652723323192899</v>
      </c>
      <c r="J28">
        <v>-0.56652723323192899</v>
      </c>
      <c r="K28">
        <v>-0.56746431720395896</v>
      </c>
      <c r="L28">
        <v>-0.56746431720395896</v>
      </c>
      <c r="M28">
        <v>-0.56746431720395896</v>
      </c>
      <c r="N28">
        <v>-0.56746431720395896</v>
      </c>
    </row>
    <row r="29" spans="1:14" x14ac:dyDescent="0.3">
      <c r="A29" t="s">
        <v>4</v>
      </c>
      <c r="B29">
        <v>0.61901320547891303</v>
      </c>
      <c r="C29">
        <v>0.61901320547891303</v>
      </c>
      <c r="D29">
        <v>0.61901320547891303</v>
      </c>
      <c r="E29">
        <v>0.61901320547891303</v>
      </c>
      <c r="F29">
        <v>0.78581580144840701</v>
      </c>
      <c r="G29">
        <v>0.78581580144840701</v>
      </c>
      <c r="H29">
        <v>0.78581580144840701</v>
      </c>
      <c r="I29">
        <v>0.78581580144840701</v>
      </c>
      <c r="J29">
        <v>0.78581580144840701</v>
      </c>
      <c r="K29">
        <v>0.820056940170938</v>
      </c>
      <c r="L29">
        <v>0.820056940170938</v>
      </c>
      <c r="M29">
        <v>0.820056940170938</v>
      </c>
      <c r="N29">
        <v>0.820056940170938</v>
      </c>
    </row>
    <row r="31" spans="1:14" x14ac:dyDescent="0.3">
      <c r="B31" s="4">
        <f>(B27-A21)</f>
        <v>-1.1102230246251565E-16</v>
      </c>
      <c r="C31" s="4">
        <f>(C27-A21)</f>
        <v>-1.1102230246251565E-16</v>
      </c>
      <c r="D31" s="4">
        <f>(D27-A21)</f>
        <v>-1.1102230246251565E-16</v>
      </c>
      <c r="E31" s="4">
        <f>(E27-A21)</f>
        <v>-1.1102230246251565E-16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-2.2204460492503131E-16</v>
      </c>
      <c r="C32" s="4">
        <f t="shared" ref="C32:C33" si="9">(C28-A22)</f>
        <v>-2.2204460492503131E-16</v>
      </c>
      <c r="D32" s="4">
        <f t="shared" ref="D32:D33" si="10">(D28-A22)</f>
        <v>-2.2204460492503131E-16</v>
      </c>
      <c r="E32" s="4">
        <f t="shared" ref="E32:E33" si="11">(E28-A22)</f>
        <v>-2.2204460492503131E-16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-2.2204460492503131E-16</v>
      </c>
      <c r="C33" s="4">
        <f t="shared" si="9"/>
        <v>-2.2204460492503131E-16</v>
      </c>
      <c r="D33" s="4">
        <f t="shared" si="10"/>
        <v>-2.2204460492503131E-16</v>
      </c>
      <c r="E33" s="4">
        <f t="shared" si="11"/>
        <v>-2.2204460492503131E-16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5365-E09D-4674-9CA0-BDBD24B72BA7}">
  <dimension ref="A1:X33"/>
  <sheetViews>
    <sheetView topLeftCell="P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2</v>
      </c>
      <c r="C3" s="1">
        <v>0</v>
      </c>
      <c r="D3" s="1">
        <v>0</v>
      </c>
      <c r="F3" t="s">
        <v>2</v>
      </c>
      <c r="G3">
        <v>2.02767985101584</v>
      </c>
      <c r="H3">
        <v>0</v>
      </c>
      <c r="I3">
        <v>0</v>
      </c>
      <c r="K3" t="s">
        <v>2</v>
      </c>
      <c r="L3">
        <v>1.976979938628723</v>
      </c>
      <c r="M3">
        <v>0</v>
      </c>
      <c r="N3">
        <v>0</v>
      </c>
      <c r="P3" t="s">
        <v>2</v>
      </c>
      <c r="Q3">
        <v>1.9999911592587118</v>
      </c>
      <c r="R3">
        <v>0</v>
      </c>
      <c r="S3">
        <v>0</v>
      </c>
      <c r="U3" t="s">
        <v>2</v>
      </c>
      <c r="V3">
        <v>1.9999910647481036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-5.7594439358305261</v>
      </c>
      <c r="I4">
        <v>0</v>
      </c>
      <c r="K4" t="s">
        <v>3</v>
      </c>
      <c r="L4">
        <v>0</v>
      </c>
      <c r="M4">
        <v>-0.76928709013959051</v>
      </c>
      <c r="N4">
        <v>0</v>
      </c>
      <c r="P4" t="s">
        <v>3</v>
      </c>
      <c r="Q4">
        <v>0</v>
      </c>
      <c r="R4">
        <v>-0.99999360642713453</v>
      </c>
      <c r="S4">
        <v>0</v>
      </c>
      <c r="U4" t="s">
        <v>3</v>
      </c>
      <c r="V4">
        <v>0</v>
      </c>
      <c r="W4">
        <v>-0.99999994865074038</v>
      </c>
      <c r="X4">
        <v>0</v>
      </c>
    </row>
    <row r="5" spans="1:24" x14ac:dyDescent="0.3">
      <c r="A5" s="1" t="s">
        <v>4</v>
      </c>
      <c r="B5" s="1">
        <v>-2</v>
      </c>
      <c r="C5" s="1">
        <v>1</v>
      </c>
      <c r="D5" s="1">
        <v>0</v>
      </c>
      <c r="F5" t="s">
        <v>4</v>
      </c>
      <c r="G5">
        <v>-2.1334090645934145</v>
      </c>
      <c r="H5">
        <v>1.8229193348014094</v>
      </c>
      <c r="I5">
        <v>0</v>
      </c>
      <c r="K5" t="s">
        <v>4</v>
      </c>
      <c r="L5">
        <v>-1.955365513795102</v>
      </c>
      <c r="M5">
        <v>0.58038938083574032</v>
      </c>
      <c r="N5">
        <v>0</v>
      </c>
      <c r="P5" t="s">
        <v>4</v>
      </c>
      <c r="Q5">
        <v>-1.9999976070214267</v>
      </c>
      <c r="R5">
        <v>0.99999341260830965</v>
      </c>
      <c r="S5">
        <v>0</v>
      </c>
      <c r="U5" t="s">
        <v>4</v>
      </c>
      <c r="V5">
        <v>-1.9999969117982395</v>
      </c>
      <c r="W5">
        <v>0.99998925794474736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7.6617415225910029E-4</v>
      </c>
      <c r="H8">
        <f t="shared" ref="H8:I10" si="0">(H3-C3)^2</f>
        <v>0</v>
      </c>
      <c r="I8">
        <f t="shared" si="0"/>
        <v>0</v>
      </c>
      <c r="L8">
        <f>(L3-B3)^2</f>
        <v>5.2992322553735904E-4</v>
      </c>
      <c r="M8">
        <f t="shared" ref="M8:N10" si="1">(M3-C3)^2</f>
        <v>0</v>
      </c>
      <c r="N8">
        <f t="shared" si="1"/>
        <v>0</v>
      </c>
      <c r="Q8">
        <f>(Q3-B3)^2</f>
        <v>7.815870652403428E-11</v>
      </c>
      <c r="R8">
        <f t="shared" ref="R8:S10" si="2">(R3-C3)^2</f>
        <v>0</v>
      </c>
      <c r="S8">
        <f t="shared" si="2"/>
        <v>0</v>
      </c>
      <c r="V8">
        <f>(V3-B3)^2</f>
        <v>7.9838726451768395E-11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22.652306578313969</v>
      </c>
      <c r="I9">
        <f t="shared" si="0"/>
        <v>0</v>
      </c>
      <c r="L9">
        <f t="shared" ref="L9:L10" si="5">(L4-B4)^2</f>
        <v>0</v>
      </c>
      <c r="M9">
        <f t="shared" si="1"/>
        <v>5.3228446776257432E-2</v>
      </c>
      <c r="N9">
        <f t="shared" si="1"/>
        <v>0</v>
      </c>
      <c r="Q9">
        <f t="shared" ref="Q9:Q10" si="6">(Q4-B4)^2</f>
        <v>0</v>
      </c>
      <c r="R9">
        <f t="shared" si="2"/>
        <v>4.0877773986083332E-11</v>
      </c>
      <c r="S9">
        <f t="shared" si="2"/>
        <v>0</v>
      </c>
      <c r="V9">
        <f t="shared" ref="V9:V10" si="7">(V4-B4)^2</f>
        <v>0</v>
      </c>
      <c r="W9">
        <f t="shared" si="3"/>
        <v>2.6367464637414686E-15</v>
      </c>
      <c r="X9">
        <f t="shared" si="3"/>
        <v>0</v>
      </c>
    </row>
    <row r="10" spans="1:24" x14ac:dyDescent="0.3">
      <c r="G10">
        <f t="shared" si="4"/>
        <v>1.7797978515689844E-2</v>
      </c>
      <c r="H10">
        <f t="shared" si="0"/>
        <v>0.6771962315899942</v>
      </c>
      <c r="I10">
        <f t="shared" si="0"/>
        <v>0</v>
      </c>
      <c r="L10">
        <f t="shared" si="5"/>
        <v>1.9922373587752265E-3</v>
      </c>
      <c r="M10">
        <f t="shared" si="1"/>
        <v>0.17607307171541337</v>
      </c>
      <c r="N10">
        <f t="shared" si="1"/>
        <v>0</v>
      </c>
      <c r="Q10">
        <f t="shared" si="6"/>
        <v>5.7263464522522223E-12</v>
      </c>
      <c r="R10">
        <f t="shared" si="2"/>
        <v>4.3393729282081228E-11</v>
      </c>
      <c r="S10">
        <f t="shared" si="2"/>
        <v>0</v>
      </c>
      <c r="V10">
        <f t="shared" si="7"/>
        <v>9.5369901137847268E-12</v>
      </c>
      <c r="W10">
        <f t="shared" si="3"/>
        <v>1.1539175105085275E-10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23.348066962571913</v>
      </c>
      <c r="L13">
        <f>SUM(L8:N10)</f>
        <v>0.23182367907598339</v>
      </c>
      <c r="Q13">
        <f>SUM(Q8:S10)</f>
        <v>1.6815655624445104E-10</v>
      </c>
      <c r="V13">
        <f>SUM(V8:X10)</f>
        <v>2.0477010436286962E-10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0.87474027275418798</v>
      </c>
      <c r="B21">
        <v>0.9602545352286338</v>
      </c>
      <c r="C21">
        <v>0.97145730593547042</v>
      </c>
    </row>
    <row r="22" spans="1:14" x14ac:dyDescent="0.3">
      <c r="A22">
        <v>-0.5422887431838499</v>
      </c>
      <c r="B22">
        <v>-0.56653031307964352</v>
      </c>
      <c r="C22">
        <v>-0.56746431755610804</v>
      </c>
    </row>
    <row r="23" spans="1:14" x14ac:dyDescent="0.3">
      <c r="A23">
        <v>-2.0997422140723034</v>
      </c>
      <c r="B23">
        <v>-3.3840198177525171</v>
      </c>
      <c r="C23">
        <v>-3.7334985538781811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0.87474027275418798</v>
      </c>
      <c r="C27">
        <v>0.87474027275418798</v>
      </c>
      <c r="D27">
        <v>0.87474027275418798</v>
      </c>
      <c r="E27">
        <v>0.87474027275418798</v>
      </c>
      <c r="F27">
        <v>0.96025453522863402</v>
      </c>
      <c r="G27">
        <v>0.96025453522863402</v>
      </c>
      <c r="H27">
        <v>0.96025453522863402</v>
      </c>
      <c r="I27">
        <v>0.96025453522863402</v>
      </c>
      <c r="J27">
        <v>0.96025453522863402</v>
      </c>
      <c r="K27">
        <v>0.97145730593546997</v>
      </c>
      <c r="L27">
        <v>0.97145730593546997</v>
      </c>
      <c r="M27">
        <v>0.97145730593546997</v>
      </c>
      <c r="N27">
        <v>0.97145730593546997</v>
      </c>
    </row>
    <row r="28" spans="1:14" x14ac:dyDescent="0.3">
      <c r="A28" t="s">
        <v>3</v>
      </c>
      <c r="B28">
        <v>-0.54228874318385001</v>
      </c>
      <c r="C28">
        <v>-0.54228874318385001</v>
      </c>
      <c r="D28">
        <v>-0.54228874318385001</v>
      </c>
      <c r="E28">
        <v>-0.54228874318385001</v>
      </c>
      <c r="F28">
        <v>-0.56653031307964397</v>
      </c>
      <c r="G28">
        <v>-0.56653031307964397</v>
      </c>
      <c r="H28">
        <v>-0.56653031307964397</v>
      </c>
      <c r="I28">
        <v>-0.56653031307964397</v>
      </c>
      <c r="J28">
        <v>-0.56653031307964397</v>
      </c>
      <c r="K28">
        <v>-0.56746431755610804</v>
      </c>
      <c r="L28">
        <v>-0.56746431755610804</v>
      </c>
      <c r="M28">
        <v>-0.56746431755610804</v>
      </c>
      <c r="N28">
        <v>-0.56746431755610804</v>
      </c>
    </row>
    <row r="29" spans="1:14" x14ac:dyDescent="0.3">
      <c r="A29" t="s">
        <v>4</v>
      </c>
      <c r="B29">
        <v>-2.0997422140722999</v>
      </c>
      <c r="C29">
        <v>-2.0997422140722999</v>
      </c>
      <c r="D29">
        <v>-2.0997422140722999</v>
      </c>
      <c r="E29">
        <v>-2.0997422140722999</v>
      </c>
      <c r="F29">
        <v>-3.3840198177525198</v>
      </c>
      <c r="G29">
        <v>-3.3840198177525198</v>
      </c>
      <c r="H29">
        <v>-3.3840198177525198</v>
      </c>
      <c r="I29">
        <v>-3.3840198177525198</v>
      </c>
      <c r="J29">
        <v>-3.3840198177525198</v>
      </c>
      <c r="K29">
        <v>-3.7334985538781802</v>
      </c>
      <c r="L29">
        <v>-3.7334985538781802</v>
      </c>
      <c r="M29">
        <v>-3.7334985538781802</v>
      </c>
      <c r="N29">
        <v>-3.7334985538781802</v>
      </c>
    </row>
    <row r="31" spans="1:14" x14ac:dyDescent="0.3">
      <c r="B31" s="4">
        <f>(B27-A21)</f>
        <v>0</v>
      </c>
      <c r="C31" s="4">
        <f>(C27-A21)</f>
        <v>0</v>
      </c>
      <c r="D31" s="4">
        <f>(D27-A21)</f>
        <v>0</v>
      </c>
      <c r="E31" s="4">
        <f>(E27-A21)</f>
        <v>0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-1.1102230246251565E-16</v>
      </c>
      <c r="C32" s="4">
        <f t="shared" ref="C32:C33" si="9">(C28-A22)</f>
        <v>-1.1102230246251565E-16</v>
      </c>
      <c r="D32" s="4">
        <f t="shared" ref="D32:D33" si="10">(D28-A22)</f>
        <v>-1.1102230246251565E-16</v>
      </c>
      <c r="E32" s="4">
        <f t="shared" ref="E32:E33" si="11">(E28-A22)</f>
        <v>-1.1102230246251565E-16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3.5527136788005009E-15</v>
      </c>
      <c r="C33" s="4">
        <f t="shared" si="9"/>
        <v>3.5527136788005009E-15</v>
      </c>
      <c r="D33" s="4">
        <f t="shared" si="10"/>
        <v>3.5527136788005009E-15</v>
      </c>
      <c r="E33" s="4">
        <f t="shared" si="11"/>
        <v>3.5527136788005009E-15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3F06-B04C-40FC-AD31-9ACD695D6B87}">
  <dimension ref="A1:X33"/>
  <sheetViews>
    <sheetView zoomScale="78" workbookViewId="0">
      <selection activeCell="S12" sqref="S12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2</v>
      </c>
      <c r="C3" s="1">
        <v>0</v>
      </c>
      <c r="D3" s="1">
        <v>0</v>
      </c>
      <c r="F3" t="s">
        <v>2</v>
      </c>
      <c r="G3">
        <v>2.0001851907890651</v>
      </c>
      <c r="H3">
        <v>0</v>
      </c>
      <c r="I3">
        <v>0</v>
      </c>
      <c r="K3" t="s">
        <v>2</v>
      </c>
      <c r="L3">
        <v>2.210758731783411</v>
      </c>
      <c r="M3">
        <v>0</v>
      </c>
      <c r="N3">
        <v>0</v>
      </c>
      <c r="P3" t="s">
        <v>2</v>
      </c>
      <c r="Q3">
        <v>1.9999638261065893</v>
      </c>
      <c r="R3">
        <v>0</v>
      </c>
      <c r="S3">
        <v>0</v>
      </c>
      <c r="U3" t="s">
        <v>2</v>
      </c>
      <c r="V3">
        <v>1.99999676282043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1</v>
      </c>
      <c r="D4" s="1">
        <v>0</v>
      </c>
      <c r="F4" t="s">
        <v>3</v>
      </c>
      <c r="G4">
        <v>0</v>
      </c>
      <c r="H4">
        <v>0.72036276162157176</v>
      </c>
      <c r="I4">
        <v>0</v>
      </c>
      <c r="K4" t="s">
        <v>3</v>
      </c>
      <c r="L4">
        <v>0</v>
      </c>
      <c r="M4">
        <v>0.92045066263009756</v>
      </c>
      <c r="N4">
        <v>0</v>
      </c>
      <c r="P4" t="s">
        <v>3</v>
      </c>
      <c r="Q4">
        <v>0</v>
      </c>
      <c r="R4">
        <v>1.0000000729753</v>
      </c>
      <c r="S4">
        <v>0</v>
      </c>
      <c r="U4" t="s">
        <v>3</v>
      </c>
      <c r="V4">
        <v>0</v>
      </c>
      <c r="W4">
        <v>0.99999996437897898</v>
      </c>
      <c r="X4">
        <v>0</v>
      </c>
    </row>
    <row r="5" spans="1:24" x14ac:dyDescent="0.3">
      <c r="A5" s="1" t="s">
        <v>4</v>
      </c>
      <c r="B5" s="1">
        <v>-2</v>
      </c>
      <c r="C5" s="1">
        <v>-1</v>
      </c>
      <c r="D5" s="1">
        <v>0</v>
      </c>
      <c r="F5" t="s">
        <v>4</v>
      </c>
      <c r="G5">
        <v>-2.0346355385728581</v>
      </c>
      <c r="H5">
        <v>-0.96067751688826752</v>
      </c>
      <c r="I5">
        <v>0</v>
      </c>
      <c r="K5" t="s">
        <v>4</v>
      </c>
      <c r="L5">
        <v>-2.0272284038356054</v>
      </c>
      <c r="M5">
        <v>-0.99380107087493408</v>
      </c>
      <c r="N5">
        <v>0</v>
      </c>
      <c r="P5" t="s">
        <v>4</v>
      </c>
      <c r="Q5">
        <v>-1.9998996970990144</v>
      </c>
      <c r="R5">
        <v>-1.0001061649525116</v>
      </c>
      <c r="S5">
        <v>0</v>
      </c>
      <c r="U5" t="s">
        <v>4</v>
      </c>
      <c r="V5">
        <v>-1.9996854509632129</v>
      </c>
      <c r="W5">
        <v>-1.0003665632417356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3.4295628354551692E-8</v>
      </c>
      <c r="H8">
        <f t="shared" ref="H8:I10" si="0">(H3-C3)^2</f>
        <v>0</v>
      </c>
      <c r="I8">
        <f t="shared" si="0"/>
        <v>0</v>
      </c>
      <c r="L8">
        <f>(L3-B3)^2</f>
        <v>4.441924302295177E-2</v>
      </c>
      <c r="M8">
        <f t="shared" ref="M8:N10" si="1">(M3-C3)^2</f>
        <v>0</v>
      </c>
      <c r="N8">
        <f t="shared" si="1"/>
        <v>0</v>
      </c>
      <c r="Q8">
        <f>(Q3-B3)^2</f>
        <v>1.3085505644891898E-9</v>
      </c>
      <c r="R8">
        <f t="shared" ref="R8:S10" si="2">(R3-C3)^2</f>
        <v>0</v>
      </c>
      <c r="S8">
        <f t="shared" si="2"/>
        <v>0</v>
      </c>
      <c r="V8">
        <f>(V3-B3)^2</f>
        <v>1.0479331568161754E-11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7.8196985087913895E-2</v>
      </c>
      <c r="I9">
        <f t="shared" si="0"/>
        <v>0</v>
      </c>
      <c r="L9">
        <f t="shared" ref="L9:L10" si="5">(L4-B4)^2</f>
        <v>0</v>
      </c>
      <c r="M9">
        <f t="shared" si="1"/>
        <v>6.3280970759905571E-3</v>
      </c>
      <c r="N9">
        <f t="shared" si="1"/>
        <v>0</v>
      </c>
      <c r="Q9">
        <f t="shared" ref="Q9:Q10" si="6">(Q4-B4)^2</f>
        <v>0</v>
      </c>
      <c r="R9">
        <f t="shared" si="2"/>
        <v>5.3253944137439452E-15</v>
      </c>
      <c r="S9">
        <f t="shared" si="2"/>
        <v>0</v>
      </c>
      <c r="V9">
        <f t="shared" ref="V9:V10" si="7">(V4-B4)^2</f>
        <v>0</v>
      </c>
      <c r="W9">
        <f t="shared" si="3"/>
        <v>1.2688571386302168E-15</v>
      </c>
      <c r="X9">
        <f t="shared" si="3"/>
        <v>0</v>
      </c>
    </row>
    <row r="10" spans="1:24" x14ac:dyDescent="0.3">
      <c r="G10">
        <f t="shared" si="4"/>
        <v>1.1996205322319386E-3</v>
      </c>
      <c r="H10">
        <f t="shared" si="0"/>
        <v>1.5462576780724858E-3</v>
      </c>
      <c r="I10">
        <f t="shared" si="0"/>
        <v>0</v>
      </c>
      <c r="L10">
        <f t="shared" si="5"/>
        <v>7.4138597543481246E-4</v>
      </c>
      <c r="M10">
        <f t="shared" si="1"/>
        <v>3.8426722297590555E-5</v>
      </c>
      <c r="N10">
        <f t="shared" si="1"/>
        <v>0</v>
      </c>
      <c r="Q10">
        <f t="shared" si="6"/>
        <v>1.0060671946130289E-8</v>
      </c>
      <c r="R10">
        <f t="shared" si="2"/>
        <v>1.1270997141788013E-8</v>
      </c>
      <c r="S10">
        <f t="shared" si="2"/>
        <v>0</v>
      </c>
      <c r="V10">
        <f t="shared" si="7"/>
        <v>9.894109654367395E-8</v>
      </c>
      <c r="W10">
        <f t="shared" si="3"/>
        <v>1.3436861019168437E-7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8.0942897593846666E-2</v>
      </c>
      <c r="L13">
        <f>SUM(L8:N10)</f>
        <v>5.1527152796674733E-2</v>
      </c>
      <c r="Q13">
        <f>SUM(Q8:S10)</f>
        <v>2.2640224977801905E-8</v>
      </c>
      <c r="V13">
        <f>SUM(V8:X10)</f>
        <v>2.3332018733578362E-7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0.8747437280236432</v>
      </c>
      <c r="B21">
        <v>0.96025623310389063</v>
      </c>
      <c r="C21">
        <v>0.97145740624303145</v>
      </c>
    </row>
    <row r="22" spans="1:14" x14ac:dyDescent="0.3">
      <c r="A22">
        <v>0.63370169827028155</v>
      </c>
      <c r="B22">
        <v>0.73321122912693049</v>
      </c>
      <c r="C22">
        <v>0.75435873026723155</v>
      </c>
    </row>
    <row r="23" spans="1:14" x14ac:dyDescent="0.3">
      <c r="A23">
        <v>-3.0850422500545904</v>
      </c>
      <c r="B23">
        <v>-5.6980282847416275</v>
      </c>
      <c r="C23">
        <v>-7.0692205608733945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0.87474372802364297</v>
      </c>
      <c r="C27">
        <v>0.87474372802364297</v>
      </c>
      <c r="D27">
        <v>0.87474372802364297</v>
      </c>
      <c r="E27">
        <v>0.87474372802364297</v>
      </c>
      <c r="F27">
        <v>0.96025623310389097</v>
      </c>
      <c r="G27">
        <v>0.96025623310389097</v>
      </c>
      <c r="H27">
        <v>0.96025623310389097</v>
      </c>
      <c r="I27">
        <v>0.96025623310389097</v>
      </c>
      <c r="J27">
        <v>0.96025623310389097</v>
      </c>
      <c r="K27">
        <v>0.97145740624303101</v>
      </c>
      <c r="L27">
        <v>0.97145740624303101</v>
      </c>
      <c r="M27">
        <v>0.97145740624303101</v>
      </c>
      <c r="N27">
        <v>0.97145740624303101</v>
      </c>
    </row>
    <row r="28" spans="1:14" x14ac:dyDescent="0.3">
      <c r="A28" t="s">
        <v>3</v>
      </c>
      <c r="B28">
        <v>0.633701698270282</v>
      </c>
      <c r="C28">
        <v>0.633701698270282</v>
      </c>
      <c r="D28">
        <v>0.633701698270282</v>
      </c>
      <c r="E28">
        <v>0.633701698270282</v>
      </c>
      <c r="F28">
        <v>0.73321122912693004</v>
      </c>
      <c r="G28">
        <v>0.73321122912693004</v>
      </c>
      <c r="H28">
        <v>0.73321122912693004</v>
      </c>
      <c r="I28">
        <v>0.73321122912693004</v>
      </c>
      <c r="J28">
        <v>0.73321122912693004</v>
      </c>
      <c r="K28">
        <v>0.75435873026723199</v>
      </c>
      <c r="L28">
        <v>0.75435873026723199</v>
      </c>
      <c r="M28">
        <v>0.75435873026723199</v>
      </c>
      <c r="N28">
        <v>0.75435873026723199</v>
      </c>
    </row>
    <row r="29" spans="1:14" x14ac:dyDescent="0.3">
      <c r="A29" t="s">
        <v>4</v>
      </c>
      <c r="B29">
        <v>-3.08504225005459</v>
      </c>
      <c r="C29">
        <v>-3.08504225005459</v>
      </c>
      <c r="D29">
        <v>-3.08504225005459</v>
      </c>
      <c r="E29">
        <v>-3.08504225005459</v>
      </c>
      <c r="F29">
        <v>-5.6980282847416301</v>
      </c>
      <c r="G29">
        <v>-5.6980282847416301</v>
      </c>
      <c r="H29">
        <v>-5.6980282847416301</v>
      </c>
      <c r="I29">
        <v>-5.6980282847416301</v>
      </c>
      <c r="J29">
        <v>-5.6980282847416301</v>
      </c>
      <c r="K29">
        <v>-7.06922056087339</v>
      </c>
      <c r="L29">
        <v>-7.06922056087339</v>
      </c>
      <c r="M29">
        <v>-7.06922056087339</v>
      </c>
      <c r="N29">
        <v>-7.06922056087339</v>
      </c>
    </row>
    <row r="31" spans="1:14" x14ac:dyDescent="0.3">
      <c r="B31" s="4">
        <f>(B27-A21)</f>
        <v>-2.2204460492503131E-16</v>
      </c>
      <c r="C31" s="4">
        <f>(C27-A21)</f>
        <v>-2.2204460492503131E-16</v>
      </c>
      <c r="D31" s="4">
        <f>(D27-A21)</f>
        <v>-2.2204460492503131E-16</v>
      </c>
      <c r="E31" s="4">
        <f>(E27-A21)</f>
        <v>-2.2204460492503131E-16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4.4408920985006262E-16</v>
      </c>
      <c r="C32" s="4">
        <f t="shared" ref="C32:C33" si="9">(C28-A22)</f>
        <v>4.4408920985006262E-16</v>
      </c>
      <c r="D32" s="4">
        <f t="shared" ref="D32:D33" si="10">(D28-A22)</f>
        <v>4.4408920985006262E-16</v>
      </c>
      <c r="E32" s="4">
        <f t="shared" ref="E32:E33" si="11">(E28-A22)</f>
        <v>4.4408920985006262E-16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4.4408920985006262E-16</v>
      </c>
      <c r="C33" s="4">
        <f t="shared" si="9"/>
        <v>4.4408920985006262E-16</v>
      </c>
      <c r="D33" s="4">
        <f t="shared" si="10"/>
        <v>4.4408920985006262E-16</v>
      </c>
      <c r="E33" s="4">
        <f t="shared" si="11"/>
        <v>4.4408920985006262E-16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FCBD-5825-4A0A-AF32-0A999C272771}">
  <dimension ref="A1:X33"/>
  <sheetViews>
    <sheetView topLeftCell="P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2</v>
      </c>
      <c r="C3" s="1">
        <v>0</v>
      </c>
      <c r="D3" s="1">
        <v>0</v>
      </c>
      <c r="F3" t="s">
        <v>2</v>
      </c>
      <c r="G3">
        <v>1.0006494170954874</v>
      </c>
      <c r="H3">
        <v>0</v>
      </c>
      <c r="I3">
        <v>0</v>
      </c>
      <c r="K3" t="s">
        <v>2</v>
      </c>
      <c r="L3">
        <v>1.858563126507621</v>
      </c>
      <c r="M3">
        <v>0</v>
      </c>
      <c r="N3">
        <v>0</v>
      </c>
      <c r="P3" t="s">
        <v>2</v>
      </c>
      <c r="Q3">
        <v>1.9999932782300134</v>
      </c>
      <c r="R3">
        <v>0</v>
      </c>
      <c r="S3">
        <v>0</v>
      </c>
      <c r="U3" t="s">
        <v>2</v>
      </c>
      <c r="V3">
        <v>1.9999917879785174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-2</v>
      </c>
      <c r="D4" s="1">
        <v>0</v>
      </c>
      <c r="F4" t="s">
        <v>3</v>
      </c>
      <c r="G4">
        <v>0</v>
      </c>
      <c r="H4">
        <v>-0.99988371941742382</v>
      </c>
      <c r="I4">
        <v>0</v>
      </c>
      <c r="K4" t="s">
        <v>3</v>
      </c>
      <c r="L4">
        <v>0</v>
      </c>
      <c r="M4">
        <v>-1.6281541153930592</v>
      </c>
      <c r="N4">
        <v>0</v>
      </c>
      <c r="P4" t="s">
        <v>3</v>
      </c>
      <c r="Q4">
        <v>0</v>
      </c>
      <c r="R4">
        <v>-1.9999930215407598</v>
      </c>
      <c r="S4">
        <v>0</v>
      </c>
      <c r="U4" t="s">
        <v>3</v>
      </c>
      <c r="V4">
        <v>0</v>
      </c>
      <c r="W4">
        <v>-1.9999997553051696</v>
      </c>
      <c r="X4">
        <v>0</v>
      </c>
    </row>
    <row r="5" spans="1:24" x14ac:dyDescent="0.3">
      <c r="A5" s="1" t="s">
        <v>4</v>
      </c>
      <c r="B5" s="1">
        <v>-1</v>
      </c>
      <c r="C5" s="1">
        <v>1</v>
      </c>
      <c r="D5" s="1">
        <v>0</v>
      </c>
      <c r="F5" t="s">
        <v>4</v>
      </c>
      <c r="G5">
        <v>1.9850324653163298</v>
      </c>
      <c r="H5">
        <v>-1.982324854627824</v>
      </c>
      <c r="I5">
        <v>0</v>
      </c>
      <c r="K5" t="s">
        <v>4</v>
      </c>
      <c r="L5">
        <v>-0.85559214645265647</v>
      </c>
      <c r="M5">
        <v>0.59990602726625486</v>
      </c>
      <c r="N5">
        <v>0</v>
      </c>
      <c r="P5" t="s">
        <v>4</v>
      </c>
      <c r="Q5">
        <v>-0.99999791173285135</v>
      </c>
      <c r="R5">
        <v>0.99999458422462995</v>
      </c>
      <c r="S5">
        <v>0</v>
      </c>
      <c r="U5" t="s">
        <v>4</v>
      </c>
      <c r="V5">
        <v>-0.99999873940833917</v>
      </c>
      <c r="W5">
        <v>0.99999416531812113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0.99870158755158911</v>
      </c>
      <c r="H8">
        <f t="shared" ref="H8:I10" si="0">(H3-C3)^2</f>
        <v>0</v>
      </c>
      <c r="I8">
        <f t="shared" si="0"/>
        <v>0</v>
      </c>
      <c r="L8">
        <f>(L3-B3)^2</f>
        <v>2.0004389183299217E-2</v>
      </c>
      <c r="M8">
        <f t="shared" ref="M8:N10" si="1">(M3-C3)^2</f>
        <v>0</v>
      </c>
      <c r="N8">
        <f t="shared" si="1"/>
        <v>0</v>
      </c>
      <c r="Q8">
        <f>(Q3-B3)^2</f>
        <v>4.5182191752989566E-11</v>
      </c>
      <c r="R8">
        <f t="shared" ref="R8:S10" si="2">(R3-C3)^2</f>
        <v>0</v>
      </c>
      <c r="S8">
        <f t="shared" si="2"/>
        <v>0</v>
      </c>
      <c r="V8">
        <f>(V3-B3)^2</f>
        <v>6.7437296830698965E-11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1.0002325746863261</v>
      </c>
      <c r="I9">
        <f t="shared" si="0"/>
        <v>0</v>
      </c>
      <c r="L9">
        <f t="shared" ref="L9:L10" si="5">(L4-B4)^2</f>
        <v>0</v>
      </c>
      <c r="M9">
        <f t="shared" si="1"/>
        <v>0.13826936189911831</v>
      </c>
      <c r="N9">
        <f t="shared" si="1"/>
        <v>0</v>
      </c>
      <c r="Q9">
        <f t="shared" ref="Q9:Q10" si="6">(Q4-B4)^2</f>
        <v>0</v>
      </c>
      <c r="R9">
        <f t="shared" si="2"/>
        <v>4.8698893367799324E-11</v>
      </c>
      <c r="S9">
        <f t="shared" si="2"/>
        <v>0</v>
      </c>
      <c r="V9">
        <f t="shared" ref="V9:V10" si="7">(V4-B4)^2</f>
        <v>0</v>
      </c>
      <c r="W9">
        <f t="shared" si="3"/>
        <v>5.9875560023514729E-14</v>
      </c>
      <c r="X9">
        <f t="shared" si="3"/>
        <v>0</v>
      </c>
    </row>
    <row r="10" spans="1:24" x14ac:dyDescent="0.3">
      <c r="G10">
        <f t="shared" si="4"/>
        <v>8.9104188189924862</v>
      </c>
      <c r="H10">
        <f t="shared" si="0"/>
        <v>8.8942615385308699</v>
      </c>
      <c r="I10">
        <f t="shared" si="0"/>
        <v>0</v>
      </c>
      <c r="L10">
        <f t="shared" si="5"/>
        <v>2.0853628166151019E-2</v>
      </c>
      <c r="M10">
        <f t="shared" si="1"/>
        <v>0.1600751870178708</v>
      </c>
      <c r="N10">
        <f t="shared" si="1"/>
        <v>0</v>
      </c>
      <c r="Q10">
        <f t="shared" si="6"/>
        <v>4.3608596841213532E-12</v>
      </c>
      <c r="R10">
        <f t="shared" si="2"/>
        <v>2.9330622858889542E-11</v>
      </c>
      <c r="S10">
        <f t="shared" si="2"/>
        <v>0</v>
      </c>
      <c r="V10">
        <f t="shared" si="7"/>
        <v>1.5890913353651422E-12</v>
      </c>
      <c r="W10">
        <f t="shared" si="3"/>
        <v>3.4043512627602763E-11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19.803614519761272</v>
      </c>
      <c r="L13">
        <f>SUM(L8:N10)</f>
        <v>0.33920256626643935</v>
      </c>
      <c r="Q13">
        <f>SUM(Q8:S10)</f>
        <v>1.2757256766379977E-10</v>
      </c>
      <c r="V13">
        <f>SUM(V8:X10)</f>
        <v>1.0312977635369039E-10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0.87472995139940024</v>
      </c>
      <c r="B21">
        <v>0.9602522730089299</v>
      </c>
      <c r="C21">
        <v>0.97145733819550006</v>
      </c>
    </row>
    <row r="22" spans="1:14" x14ac:dyDescent="0.3">
      <c r="A22">
        <v>-0.91500206884387525</v>
      </c>
      <c r="B22">
        <v>-0.93939739276708978</v>
      </c>
      <c r="C22">
        <v>-0.93987149979855333</v>
      </c>
    </row>
    <row r="23" spans="1:14" x14ac:dyDescent="0.3">
      <c r="A23">
        <v>-0.83917546645926022</v>
      </c>
      <c r="B23">
        <v>-1.2818137007169255</v>
      </c>
      <c r="C23">
        <v>-1.3819891372865094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0.87472995139940002</v>
      </c>
      <c r="C27">
        <v>0.87472995139940002</v>
      </c>
      <c r="D27">
        <v>0.87472995139940002</v>
      </c>
      <c r="E27">
        <v>0.87472995139940002</v>
      </c>
      <c r="F27">
        <v>0.96025227300893001</v>
      </c>
      <c r="G27">
        <v>0.96025227300893001</v>
      </c>
      <c r="H27">
        <v>0.96025227300893001</v>
      </c>
      <c r="I27">
        <v>0.96025227300893001</v>
      </c>
      <c r="J27">
        <v>0.96025227300893001</v>
      </c>
      <c r="K27">
        <v>0.97145733819549995</v>
      </c>
      <c r="L27">
        <v>0.97145733819549995</v>
      </c>
      <c r="M27">
        <v>0.97145733819549995</v>
      </c>
      <c r="N27">
        <v>0.97145733819549995</v>
      </c>
    </row>
    <row r="28" spans="1:14" x14ac:dyDescent="0.3">
      <c r="A28" t="s">
        <v>3</v>
      </c>
      <c r="B28">
        <v>-0.91500206884387503</v>
      </c>
      <c r="C28">
        <v>-0.91500206884387503</v>
      </c>
      <c r="D28">
        <v>-0.91500206884387503</v>
      </c>
      <c r="E28">
        <v>-0.91500206884387503</v>
      </c>
      <c r="F28">
        <v>-0.93939739276709</v>
      </c>
      <c r="G28">
        <v>-0.93939739276709</v>
      </c>
      <c r="H28">
        <v>-0.93939739276709</v>
      </c>
      <c r="I28">
        <v>-0.93939739276709</v>
      </c>
      <c r="J28">
        <v>-0.93939739276709</v>
      </c>
      <c r="K28">
        <v>-0.939871499798553</v>
      </c>
      <c r="L28">
        <v>-0.939871499798553</v>
      </c>
      <c r="M28">
        <v>-0.939871499798553</v>
      </c>
      <c r="N28">
        <v>-0.939871499798553</v>
      </c>
    </row>
    <row r="29" spans="1:14" x14ac:dyDescent="0.3">
      <c r="A29" t="s">
        <v>4</v>
      </c>
      <c r="B29">
        <v>-0.83917546645926</v>
      </c>
      <c r="C29">
        <v>-0.83917546645926</v>
      </c>
      <c r="D29">
        <v>-0.83917546645926</v>
      </c>
      <c r="E29">
        <v>-0.83917546645926</v>
      </c>
      <c r="F29">
        <v>-1.2818137007169299</v>
      </c>
      <c r="G29">
        <v>-1.2818137007169299</v>
      </c>
      <c r="H29">
        <v>-1.2818137007169299</v>
      </c>
      <c r="I29">
        <v>-1.2818137007169299</v>
      </c>
      <c r="J29">
        <v>-1.2818137007169299</v>
      </c>
      <c r="K29">
        <v>-1.3819891372865101</v>
      </c>
      <c r="L29">
        <v>-1.3819891372865101</v>
      </c>
      <c r="M29">
        <v>-1.3819891372865101</v>
      </c>
      <c r="N29">
        <v>-1.3819891372865101</v>
      </c>
    </row>
    <row r="31" spans="1:14" x14ac:dyDescent="0.3">
      <c r="B31" s="4">
        <f>(B27-A21)</f>
        <v>-2.2204460492503131E-16</v>
      </c>
      <c r="C31" s="4">
        <f>(C27-A21)</f>
        <v>-2.2204460492503131E-16</v>
      </c>
      <c r="D31" s="4">
        <f>(D27-A21)</f>
        <v>-2.2204460492503131E-16</v>
      </c>
      <c r="E31" s="4">
        <f>(E27-A21)</f>
        <v>-2.2204460492503131E-16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2.2204460492503131E-16</v>
      </c>
      <c r="C32" s="4">
        <f t="shared" ref="C32:C33" si="9">(C28-A22)</f>
        <v>2.2204460492503131E-16</v>
      </c>
      <c r="D32" s="4">
        <f t="shared" ref="D32:D33" si="10">(D28-A22)</f>
        <v>2.2204460492503131E-16</v>
      </c>
      <c r="E32" s="4">
        <f t="shared" ref="E32:E33" si="11">(E28-A22)</f>
        <v>2.2204460492503131E-16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2.2204460492503131E-16</v>
      </c>
      <c r="C33" s="4">
        <f t="shared" si="9"/>
        <v>2.2204460492503131E-16</v>
      </c>
      <c r="D33" s="4">
        <f t="shared" si="10"/>
        <v>2.2204460492503131E-16</v>
      </c>
      <c r="E33" s="4">
        <f t="shared" si="11"/>
        <v>2.2204460492503131E-16</v>
      </c>
      <c r="F33" s="4">
        <f t="shared" si="12"/>
        <v>-4.4408920985006262E-15</v>
      </c>
      <c r="G33" s="4">
        <f t="shared" si="13"/>
        <v>-4.4408920985006262E-15</v>
      </c>
      <c r="H33" s="4">
        <f t="shared" si="14"/>
        <v>-4.4408920985006262E-15</v>
      </c>
      <c r="I33" s="4">
        <f t="shared" si="15"/>
        <v>-4.4408920985006262E-15</v>
      </c>
      <c r="J33" s="4">
        <f t="shared" si="16"/>
        <v>-4.4408920985006262E-15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DF76-923A-4BC9-809D-61B15546047D}">
  <dimension ref="A1:X33"/>
  <sheetViews>
    <sheetView topLeftCell="Q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2</v>
      </c>
      <c r="C3" s="1">
        <v>0</v>
      </c>
      <c r="D3" s="1">
        <v>0</v>
      </c>
      <c r="F3" t="s">
        <v>2</v>
      </c>
      <c r="G3">
        <v>2.00003024414218</v>
      </c>
      <c r="H3">
        <v>0</v>
      </c>
      <c r="I3">
        <v>0</v>
      </c>
      <c r="K3" t="s">
        <v>2</v>
      </c>
      <c r="L3">
        <v>1.5882302215805684</v>
      </c>
      <c r="M3">
        <v>0</v>
      </c>
      <c r="N3">
        <v>0</v>
      </c>
      <c r="P3" t="s">
        <v>2</v>
      </c>
      <c r="Q3">
        <v>1.9999942883274562</v>
      </c>
      <c r="R3">
        <v>0</v>
      </c>
      <c r="S3">
        <v>0</v>
      </c>
      <c r="U3" t="s">
        <v>2</v>
      </c>
      <c r="V3">
        <v>1.9999897554574604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1</v>
      </c>
      <c r="D4" s="1">
        <v>0</v>
      </c>
      <c r="F4" t="s">
        <v>3</v>
      </c>
      <c r="G4">
        <v>0</v>
      </c>
      <c r="H4">
        <v>0.72044625883486468</v>
      </c>
      <c r="I4">
        <v>0</v>
      </c>
      <c r="K4" t="s">
        <v>3</v>
      </c>
      <c r="L4">
        <v>0</v>
      </c>
      <c r="M4">
        <v>0.87758304370744888</v>
      </c>
      <c r="N4">
        <v>0</v>
      </c>
      <c r="P4" t="s">
        <v>3</v>
      </c>
      <c r="Q4">
        <v>0</v>
      </c>
      <c r="R4">
        <v>0.99999904258133432</v>
      </c>
      <c r="S4">
        <v>0</v>
      </c>
      <c r="U4" t="s">
        <v>3</v>
      </c>
      <c r="V4">
        <v>0</v>
      </c>
      <c r="W4">
        <v>1.0000001273739902</v>
      </c>
      <c r="X4">
        <v>0</v>
      </c>
    </row>
    <row r="5" spans="1:24" x14ac:dyDescent="0.3">
      <c r="A5" s="1" t="s">
        <v>4</v>
      </c>
      <c r="B5" s="1">
        <v>-1</v>
      </c>
      <c r="C5" s="1">
        <v>-2</v>
      </c>
      <c r="D5" s="1">
        <v>0</v>
      </c>
      <c r="F5" t="s">
        <v>4</v>
      </c>
      <c r="G5">
        <v>-1.074634157359061</v>
      </c>
      <c r="H5">
        <v>-1.9155026272160431</v>
      </c>
      <c r="I5">
        <v>0</v>
      </c>
      <c r="K5" t="s">
        <v>4</v>
      </c>
      <c r="L5">
        <v>-1.0230414581343641</v>
      </c>
      <c r="M5">
        <v>-1.9488184997075002</v>
      </c>
      <c r="N5">
        <v>0</v>
      </c>
      <c r="P5" t="s">
        <v>4</v>
      </c>
      <c r="Q5">
        <v>-1.0000016312017692</v>
      </c>
      <c r="R5">
        <v>-1.9999967085650103</v>
      </c>
      <c r="S5">
        <v>0</v>
      </c>
      <c r="U5" t="s">
        <v>4</v>
      </c>
      <c r="V5">
        <v>-1.0007763857791037</v>
      </c>
      <c r="W5">
        <v>-1.9990960663991617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9.1470813620421233E-10</v>
      </c>
      <c r="H8">
        <f t="shared" ref="H8:I10" si="0">(H3-C3)^2</f>
        <v>0</v>
      </c>
      <c r="I8">
        <f t="shared" si="0"/>
        <v>0</v>
      </c>
      <c r="L8">
        <f>(L3-B3)^2</f>
        <v>0.16955435041958783</v>
      </c>
      <c r="M8">
        <f t="shared" ref="M8:N10" si="1">(M3-C3)^2</f>
        <v>0</v>
      </c>
      <c r="N8">
        <f t="shared" si="1"/>
        <v>0</v>
      </c>
      <c r="Q8">
        <f>(Q3-B3)^2</f>
        <v>3.2623203247801753E-11</v>
      </c>
      <c r="R8">
        <f t="shared" ref="R8:S10" si="2">(R3-C3)^2</f>
        <v>0</v>
      </c>
      <c r="S8">
        <f t="shared" si="2"/>
        <v>0</v>
      </c>
      <c r="V8">
        <f>(V3-B3)^2</f>
        <v>1.049506518460209E-10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7.8150294199423473E-2</v>
      </c>
      <c r="I9">
        <f t="shared" si="0"/>
        <v>0</v>
      </c>
      <c r="L9">
        <f t="shared" ref="L9:L10" si="5">(L4-B4)^2</f>
        <v>0</v>
      </c>
      <c r="M9">
        <f t="shared" si="1"/>
        <v>1.498591118793237E-2</v>
      </c>
      <c r="N9">
        <f t="shared" si="1"/>
        <v>0</v>
      </c>
      <c r="Q9">
        <f t="shared" ref="Q9:Q10" si="6">(Q4-B4)^2</f>
        <v>0</v>
      </c>
      <c r="R9">
        <f t="shared" si="2"/>
        <v>9.1665050139502034E-13</v>
      </c>
      <c r="S9">
        <f t="shared" si="2"/>
        <v>0</v>
      </c>
      <c r="V9">
        <f t="shared" ref="V9:V10" si="7">(V4-B4)^2</f>
        <v>0</v>
      </c>
      <c r="W9">
        <f t="shared" si="3"/>
        <v>1.6224133390702842E-14</v>
      </c>
      <c r="X9">
        <f t="shared" si="3"/>
        <v>0</v>
      </c>
    </row>
    <row r="10" spans="1:24" x14ac:dyDescent="0.3">
      <c r="G10">
        <f t="shared" si="4"/>
        <v>5.5702574446970764E-3</v>
      </c>
      <c r="H10">
        <f t="shared" si="0"/>
        <v>7.1398060073909735E-3</v>
      </c>
      <c r="I10">
        <f t="shared" si="0"/>
        <v>0</v>
      </c>
      <c r="L10">
        <f t="shared" si="5"/>
        <v>5.3090879295765306E-4</v>
      </c>
      <c r="M10">
        <f t="shared" si="1"/>
        <v>2.6195459721911566E-3</v>
      </c>
      <c r="N10">
        <f t="shared" si="1"/>
        <v>0</v>
      </c>
      <c r="Q10">
        <f t="shared" si="6"/>
        <v>2.6608192118881411E-12</v>
      </c>
      <c r="R10">
        <f t="shared" si="2"/>
        <v>1.0833544291235611E-11</v>
      </c>
      <c r="S10">
        <f t="shared" si="2"/>
        <v>0</v>
      </c>
      <c r="V10">
        <f t="shared" si="7"/>
        <v>6.0277487799439868E-7</v>
      </c>
      <c r="W10">
        <f t="shared" si="3"/>
        <v>8.1709595472447958E-7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9.0860358566219671E-2</v>
      </c>
      <c r="L13">
        <f>SUM(L8:N10)</f>
        <v>0.18769071637266901</v>
      </c>
      <c r="Q13">
        <f>SUM(Q8:S10)</f>
        <v>4.7034217252320521E-11</v>
      </c>
      <c r="V13">
        <f>SUM(V8:X10)</f>
        <v>1.4199757995948576E-6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0.87474518396977086</v>
      </c>
      <c r="B21">
        <v>0.96025595054143076</v>
      </c>
      <c r="C21">
        <v>0.97145738981248086</v>
      </c>
    </row>
    <row r="22" spans="1:14" x14ac:dyDescent="0.3">
      <c r="A22">
        <v>0.63370218815287971</v>
      </c>
      <c r="B22">
        <v>0.73321112983164771</v>
      </c>
      <c r="C22">
        <v>0.75435871626305551</v>
      </c>
    </row>
    <row r="23" spans="1:14" x14ac:dyDescent="0.3">
      <c r="A23">
        <v>-3.038955488041601</v>
      </c>
      <c r="B23">
        <v>-5.5004944892432786</v>
      </c>
      <c r="C23">
        <v>-6.67932194953337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0.87474518396977097</v>
      </c>
      <c r="C27">
        <v>0.87474518396977097</v>
      </c>
      <c r="D27">
        <v>0.87474518396977097</v>
      </c>
      <c r="E27">
        <v>0.87474518396977097</v>
      </c>
      <c r="F27">
        <v>0.96025595054143098</v>
      </c>
      <c r="G27">
        <v>0.96025595054143098</v>
      </c>
      <c r="H27">
        <v>0.96025595054143098</v>
      </c>
      <c r="I27">
        <v>0.96025595054143098</v>
      </c>
      <c r="J27">
        <v>0.96025595054143098</v>
      </c>
      <c r="K27">
        <v>0.97145738981248098</v>
      </c>
      <c r="L27">
        <v>0.97145738981248098</v>
      </c>
      <c r="M27">
        <v>0.97145738981248098</v>
      </c>
      <c r="N27">
        <v>0.97145738981248098</v>
      </c>
    </row>
    <row r="28" spans="1:14" x14ac:dyDescent="0.3">
      <c r="A28" t="s">
        <v>3</v>
      </c>
      <c r="B28">
        <v>0.63370218815288004</v>
      </c>
      <c r="C28">
        <v>0.63370218815288004</v>
      </c>
      <c r="D28">
        <v>0.63370218815288004</v>
      </c>
      <c r="E28">
        <v>0.63370218815288004</v>
      </c>
      <c r="F28">
        <v>0.73321112983164805</v>
      </c>
      <c r="G28">
        <v>0.73321112983164805</v>
      </c>
      <c r="H28">
        <v>0.73321112983164805</v>
      </c>
      <c r="I28">
        <v>0.73321112983164805</v>
      </c>
      <c r="J28">
        <v>0.73321112983164805</v>
      </c>
      <c r="K28">
        <v>0.75435871626305595</v>
      </c>
      <c r="L28">
        <v>0.75435871626305595</v>
      </c>
      <c r="M28">
        <v>0.75435871626305595</v>
      </c>
      <c r="N28">
        <v>0.75435871626305595</v>
      </c>
    </row>
    <row r="29" spans="1:14" x14ac:dyDescent="0.3">
      <c r="A29" t="s">
        <v>4</v>
      </c>
      <c r="B29">
        <v>-3.0389554880416001</v>
      </c>
      <c r="C29">
        <v>-3.0389554880416001</v>
      </c>
      <c r="D29">
        <v>-3.0389554880416001</v>
      </c>
      <c r="E29">
        <v>-3.0389554880416001</v>
      </c>
      <c r="F29">
        <v>-5.5004944892432803</v>
      </c>
      <c r="G29">
        <v>-5.5004944892432803</v>
      </c>
      <c r="H29">
        <v>-5.5004944892432803</v>
      </c>
      <c r="I29">
        <v>-5.5004944892432803</v>
      </c>
      <c r="J29">
        <v>-5.5004944892432803</v>
      </c>
      <c r="K29">
        <v>-6.67932194953337</v>
      </c>
      <c r="L29">
        <v>-6.67932194953337</v>
      </c>
      <c r="M29">
        <v>-6.67932194953337</v>
      </c>
      <c r="N29">
        <v>-6.67932194953337</v>
      </c>
    </row>
    <row r="31" spans="1:14" x14ac:dyDescent="0.3">
      <c r="B31" s="4">
        <f>(B27-A21)</f>
        <v>1.1102230246251565E-16</v>
      </c>
      <c r="C31" s="4">
        <f>(C27-A21)</f>
        <v>1.1102230246251565E-16</v>
      </c>
      <c r="D31" s="4">
        <f>(D27-A21)</f>
        <v>1.1102230246251565E-16</v>
      </c>
      <c r="E31" s="4">
        <f>(E27-A21)</f>
        <v>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3.3306690738754696E-16</v>
      </c>
      <c r="C32" s="4">
        <f t="shared" ref="C32:C33" si="9">(C28-A22)</f>
        <v>3.3306690738754696E-16</v>
      </c>
      <c r="D32" s="4">
        <f t="shared" ref="D32:D33" si="10">(D28-A22)</f>
        <v>3.3306690738754696E-16</v>
      </c>
      <c r="E32" s="4">
        <f t="shared" ref="E32:E33" si="11">(E28-A22)</f>
        <v>3.3306690738754696E-16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8.8817841970012523E-16</v>
      </c>
      <c r="C33" s="4">
        <f t="shared" si="9"/>
        <v>8.8817841970012523E-16</v>
      </c>
      <c r="D33" s="4">
        <f t="shared" si="10"/>
        <v>8.8817841970012523E-16</v>
      </c>
      <c r="E33" s="4">
        <f t="shared" si="11"/>
        <v>8.8817841970012523E-16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976B-AD86-4F00-AECA-C62AB8BA9405}">
  <dimension ref="A1:X33"/>
  <sheetViews>
    <sheetView topLeftCell="Q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2</v>
      </c>
      <c r="C3" s="1">
        <v>0</v>
      </c>
      <c r="D3" s="1">
        <v>0</v>
      </c>
      <c r="F3" t="s">
        <v>2</v>
      </c>
      <c r="G3">
        <v>1.9998466623614208</v>
      </c>
      <c r="H3">
        <v>0</v>
      </c>
      <c r="I3">
        <v>0</v>
      </c>
      <c r="K3" t="s">
        <v>2</v>
      </c>
      <c r="L3">
        <v>1.8657923500113132</v>
      </c>
      <c r="M3">
        <v>0</v>
      </c>
      <c r="N3">
        <v>0</v>
      </c>
      <c r="P3" t="s">
        <v>2</v>
      </c>
      <c r="Q3">
        <v>1.9999119812771768</v>
      </c>
      <c r="R3">
        <v>0</v>
      </c>
      <c r="S3">
        <v>0</v>
      </c>
      <c r="U3" t="s">
        <v>2</v>
      </c>
      <c r="V3">
        <v>1.9999924505104649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-2</v>
      </c>
      <c r="D4" s="1">
        <v>0</v>
      </c>
      <c r="F4" t="s">
        <v>3</v>
      </c>
      <c r="G4">
        <v>0</v>
      </c>
      <c r="H4">
        <v>-1.9998575213517116</v>
      </c>
      <c r="I4">
        <v>0</v>
      </c>
      <c r="K4" t="s">
        <v>3</v>
      </c>
      <c r="L4">
        <v>0</v>
      </c>
      <c r="M4">
        <v>-1.6159418861696844</v>
      </c>
      <c r="N4">
        <v>0</v>
      </c>
      <c r="P4" t="s">
        <v>3</v>
      </c>
      <c r="Q4">
        <v>0</v>
      </c>
      <c r="R4">
        <v>-1.9997248706130453</v>
      </c>
      <c r="S4">
        <v>0</v>
      </c>
      <c r="U4" t="s">
        <v>3</v>
      </c>
      <c r="V4">
        <v>0</v>
      </c>
      <c r="W4">
        <v>-1.9999996918785394</v>
      </c>
      <c r="X4">
        <v>0</v>
      </c>
    </row>
    <row r="5" spans="1:24" x14ac:dyDescent="0.3">
      <c r="A5" s="1" t="s">
        <v>4</v>
      </c>
      <c r="B5" s="1">
        <v>1</v>
      </c>
      <c r="C5" s="1">
        <v>-1</v>
      </c>
      <c r="D5" s="1">
        <v>0</v>
      </c>
      <c r="F5" t="s">
        <v>4</v>
      </c>
      <c r="G5">
        <v>0.50373818655450364</v>
      </c>
      <c r="H5">
        <v>-0.91915336567034722</v>
      </c>
      <c r="I5">
        <v>0</v>
      </c>
      <c r="K5" t="s">
        <v>4</v>
      </c>
      <c r="L5">
        <v>0.26812426415173152</v>
      </c>
      <c r="M5">
        <v>-0.63913203480245939</v>
      </c>
      <c r="N5">
        <v>0</v>
      </c>
      <c r="P5" t="s">
        <v>4</v>
      </c>
      <c r="Q5">
        <v>1.0000076345644524</v>
      </c>
      <c r="R5">
        <v>-0.99991495451146561</v>
      </c>
      <c r="S5">
        <v>0</v>
      </c>
      <c r="U5" t="s">
        <v>4</v>
      </c>
      <c r="V5">
        <v>0.99999631602784389</v>
      </c>
      <c r="W5">
        <v>-0.99998654094157413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2.3512431405034679E-8</v>
      </c>
      <c r="H8">
        <f t="shared" ref="H8:I10" si="0">(H3-C3)^2</f>
        <v>0</v>
      </c>
      <c r="I8">
        <f t="shared" si="0"/>
        <v>0</v>
      </c>
      <c r="L8">
        <f>(L3-B3)^2</f>
        <v>1.8011693315485876E-2</v>
      </c>
      <c r="M8">
        <f t="shared" ref="M8:N10" si="1">(M3-C3)^2</f>
        <v>0</v>
      </c>
      <c r="N8">
        <f t="shared" si="1"/>
        <v>0</v>
      </c>
      <c r="Q8">
        <f>(Q3-B3)^2</f>
        <v>7.7472955674198634E-9</v>
      </c>
      <c r="R8">
        <f t="shared" ref="R8:S10" si="2">(R3-C3)^2</f>
        <v>0</v>
      </c>
      <c r="S8">
        <f t="shared" si="2"/>
        <v>0</v>
      </c>
      <c r="V8">
        <f>(V3-B3)^2</f>
        <v>5.6994792240202822E-11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2.0300165218096534E-8</v>
      </c>
      <c r="I9">
        <f t="shared" si="0"/>
        <v>0</v>
      </c>
      <c r="L9">
        <f t="shared" ref="L9:L10" si="5">(L4-B4)^2</f>
        <v>0</v>
      </c>
      <c r="M9">
        <f t="shared" si="1"/>
        <v>0.14750063479889969</v>
      </c>
      <c r="N9">
        <f t="shared" si="1"/>
        <v>0</v>
      </c>
      <c r="Q9">
        <f t="shared" ref="Q9:Q10" si="6">(Q4-B4)^2</f>
        <v>0</v>
      </c>
      <c r="R9">
        <f t="shared" si="2"/>
        <v>7.5696179566086167E-8</v>
      </c>
      <c r="S9">
        <f t="shared" si="2"/>
        <v>0</v>
      </c>
      <c r="V9">
        <f t="shared" ref="V9:V10" si="7">(V4-B4)^2</f>
        <v>0</v>
      </c>
      <c r="W9">
        <f t="shared" si="3"/>
        <v>9.4938834462708401E-14</v>
      </c>
      <c r="X9">
        <f t="shared" si="3"/>
        <v>0</v>
      </c>
    </row>
    <row r="10" spans="1:24" x14ac:dyDescent="0.3">
      <c r="G10">
        <f t="shared" si="4"/>
        <v>0.24627578748421264</v>
      </c>
      <c r="H10">
        <f t="shared" si="0"/>
        <v>6.5361782824325913E-3</v>
      </c>
      <c r="I10">
        <f t="shared" si="0"/>
        <v>0</v>
      </c>
      <c r="L10">
        <f t="shared" si="5"/>
        <v>0.53564209272344443</v>
      </c>
      <c r="M10">
        <f t="shared" si="1"/>
        <v>0.13022568830581338</v>
      </c>
      <c r="N10">
        <f t="shared" si="1"/>
        <v>0</v>
      </c>
      <c r="Q10">
        <f t="shared" si="6"/>
        <v>5.8286574377969479E-11</v>
      </c>
      <c r="R10">
        <f t="shared" si="2"/>
        <v>7.2327351200522834E-9</v>
      </c>
      <c r="S10">
        <f t="shared" si="2"/>
        <v>0</v>
      </c>
      <c r="V10">
        <f t="shared" si="7"/>
        <v>1.3571650846993306E-11</v>
      </c>
      <c r="W10">
        <f t="shared" si="3"/>
        <v>1.8114625371094717E-10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0.25281200957924188</v>
      </c>
      <c r="L13">
        <f>SUM(L8:N10)</f>
        <v>0.83138010914364335</v>
      </c>
      <c r="Q13">
        <f>SUM(Q8:S10)</f>
        <v>9.0734496827936281E-8</v>
      </c>
      <c r="V13">
        <f>SUM(V8:X10)</f>
        <v>2.5180763563260601E-10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0.87472995139940024</v>
      </c>
      <c r="B21">
        <v>0.9602522730089299</v>
      </c>
      <c r="C21">
        <v>0.97145733819550006</v>
      </c>
    </row>
    <row r="22" spans="1:14" x14ac:dyDescent="0.3">
      <c r="A22">
        <v>-0.91500206884387525</v>
      </c>
      <c r="B22">
        <v>-0.93939739276708978</v>
      </c>
      <c r="C22">
        <v>-0.93987149979855333</v>
      </c>
    </row>
    <row r="23" spans="1:14" x14ac:dyDescent="0.3">
      <c r="A23">
        <v>0.52698988336066888</v>
      </c>
      <c r="B23">
        <v>0.66774923775517214</v>
      </c>
      <c r="C23">
        <v>0.69258795466253731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0.87472995139940002</v>
      </c>
      <c r="C27">
        <v>0.87472995139940002</v>
      </c>
      <c r="D27">
        <v>0.87472995139940002</v>
      </c>
      <c r="E27">
        <v>0.87472995139940002</v>
      </c>
      <c r="F27">
        <v>0.96025227300893001</v>
      </c>
      <c r="G27">
        <v>0.96025227300893001</v>
      </c>
      <c r="H27">
        <v>0.96025227300893001</v>
      </c>
      <c r="I27">
        <v>0.96025227300893001</v>
      </c>
      <c r="J27">
        <v>0.96025227300893001</v>
      </c>
      <c r="K27">
        <v>0.97145733819549995</v>
      </c>
      <c r="L27">
        <v>0.97145733819549995</v>
      </c>
      <c r="M27">
        <v>0.97145733819549995</v>
      </c>
      <c r="N27">
        <v>0.97145733819549995</v>
      </c>
    </row>
    <row r="28" spans="1:14" x14ac:dyDescent="0.3">
      <c r="A28" t="s">
        <v>3</v>
      </c>
      <c r="B28">
        <v>-0.91500206884387503</v>
      </c>
      <c r="C28">
        <v>-0.91500206884387503</v>
      </c>
      <c r="D28">
        <v>-0.91500206884387503</v>
      </c>
      <c r="E28">
        <v>-0.91500206884387503</v>
      </c>
      <c r="F28">
        <v>-0.93939739276709</v>
      </c>
      <c r="G28">
        <v>-0.93939739276709</v>
      </c>
      <c r="H28">
        <v>-0.93939739276709</v>
      </c>
      <c r="I28">
        <v>-0.93939739276709</v>
      </c>
      <c r="J28">
        <v>-0.93939739276709</v>
      </c>
      <c r="K28">
        <v>-0.939871499798553</v>
      </c>
      <c r="L28">
        <v>-0.939871499798553</v>
      </c>
      <c r="M28">
        <v>-0.939871499798553</v>
      </c>
      <c r="N28">
        <v>-0.939871499798553</v>
      </c>
    </row>
    <row r="29" spans="1:14" x14ac:dyDescent="0.3">
      <c r="A29" t="s">
        <v>4</v>
      </c>
      <c r="B29">
        <v>0.52698988336066899</v>
      </c>
      <c r="C29">
        <v>0.52698988336066899</v>
      </c>
      <c r="D29">
        <v>0.52698988336066899</v>
      </c>
      <c r="E29">
        <v>0.52698988336066899</v>
      </c>
      <c r="F29">
        <v>0.66774923775517203</v>
      </c>
      <c r="G29">
        <v>0.66774923775517203</v>
      </c>
      <c r="H29">
        <v>0.66774923775517203</v>
      </c>
      <c r="I29">
        <v>0.66774923775517203</v>
      </c>
      <c r="J29">
        <v>0.66774923775517203</v>
      </c>
      <c r="K29">
        <v>0.69258795466253698</v>
      </c>
      <c r="L29">
        <v>0.69258795466253698</v>
      </c>
      <c r="M29">
        <v>0.69258795466253698</v>
      </c>
      <c r="N29">
        <v>0.69258795466253698</v>
      </c>
    </row>
    <row r="31" spans="1:14" x14ac:dyDescent="0.3">
      <c r="B31" s="4">
        <f>(B27-A21)</f>
        <v>-2.2204460492503131E-16</v>
      </c>
      <c r="C31" s="4">
        <f>(C27-A21)</f>
        <v>-2.2204460492503131E-16</v>
      </c>
      <c r="D31" s="4">
        <f>(D27-A21)</f>
        <v>-2.2204460492503131E-16</v>
      </c>
      <c r="E31" s="4">
        <f>(E27-A21)</f>
        <v>-2.2204460492503131E-16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2.2204460492503131E-16</v>
      </c>
      <c r="C32" s="4">
        <f t="shared" ref="C32:C33" si="9">(C28-A22)</f>
        <v>2.2204460492503131E-16</v>
      </c>
      <c r="D32" s="4">
        <f t="shared" ref="D32:D33" si="10">(D28-A22)</f>
        <v>2.2204460492503131E-16</v>
      </c>
      <c r="E32" s="4">
        <f t="shared" ref="E32:E33" si="11">(E28-A22)</f>
        <v>2.2204460492503131E-16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1.1102230246251565E-16</v>
      </c>
      <c r="C33" s="4">
        <f t="shared" si="9"/>
        <v>1.1102230246251565E-16</v>
      </c>
      <c r="D33" s="4">
        <f t="shared" si="10"/>
        <v>1.1102230246251565E-16</v>
      </c>
      <c r="E33" s="4">
        <f t="shared" si="11"/>
        <v>1.1102230246251565E-16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BB80-51D8-4098-9A9D-62EFF80EF001}">
  <dimension ref="A1:X33"/>
  <sheetViews>
    <sheetView topLeftCell="R1" zoomScale="78" workbookViewId="0">
      <selection activeCell="X21" sqref="X21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2</v>
      </c>
      <c r="C3" s="1">
        <v>0</v>
      </c>
      <c r="D3" s="1">
        <v>0</v>
      </c>
      <c r="F3" t="s">
        <v>2</v>
      </c>
      <c r="G3">
        <v>0.14402767073645298</v>
      </c>
      <c r="H3">
        <v>0</v>
      </c>
      <c r="I3">
        <v>0</v>
      </c>
      <c r="K3" t="s">
        <v>2</v>
      </c>
      <c r="L3">
        <v>1.787011340188688</v>
      </c>
      <c r="M3">
        <v>0</v>
      </c>
      <c r="N3">
        <v>0</v>
      </c>
      <c r="P3" t="s">
        <v>2</v>
      </c>
      <c r="Q3">
        <v>1.999989514582367</v>
      </c>
      <c r="R3">
        <v>0</v>
      </c>
      <c r="S3">
        <v>0</v>
      </c>
      <c r="U3" t="s">
        <v>2</v>
      </c>
      <c r="V3">
        <v>1.999990386602998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-5.2616658516678507</v>
      </c>
      <c r="I4">
        <v>0</v>
      </c>
      <c r="K4" t="s">
        <v>3</v>
      </c>
      <c r="L4">
        <v>0</v>
      </c>
      <c r="M4">
        <v>-0.73902426418198264</v>
      </c>
      <c r="N4">
        <v>0</v>
      </c>
      <c r="P4" t="s">
        <v>3</v>
      </c>
      <c r="Q4">
        <v>0</v>
      </c>
      <c r="R4">
        <v>-0.9999897915266559</v>
      </c>
      <c r="S4">
        <v>0</v>
      </c>
      <c r="U4" t="s">
        <v>3</v>
      </c>
      <c r="V4">
        <v>0</v>
      </c>
      <c r="W4">
        <v>-0.99999988991830346</v>
      </c>
      <c r="X4">
        <v>0</v>
      </c>
    </row>
    <row r="5" spans="1:24" x14ac:dyDescent="0.3">
      <c r="A5" s="1" t="s">
        <v>4</v>
      </c>
      <c r="B5" s="1">
        <v>1</v>
      </c>
      <c r="C5" s="1">
        <v>-2</v>
      </c>
      <c r="D5" s="1">
        <v>0</v>
      </c>
      <c r="F5" t="s">
        <v>4</v>
      </c>
      <c r="G5">
        <v>0.42182047970950071</v>
      </c>
      <c r="H5">
        <v>-5.4388894016337561</v>
      </c>
      <c r="I5">
        <v>0</v>
      </c>
      <c r="K5" t="s">
        <v>4</v>
      </c>
      <c r="L5">
        <v>0.4086659979811057</v>
      </c>
      <c r="M5">
        <v>-1.6031659125389184</v>
      </c>
      <c r="N5">
        <v>0</v>
      </c>
      <c r="P5" t="s">
        <v>4</v>
      </c>
      <c r="Q5">
        <v>0.99999089656211715</v>
      </c>
      <c r="R5">
        <v>-1.9999732698437978</v>
      </c>
      <c r="S5">
        <v>0</v>
      </c>
      <c r="U5" t="s">
        <v>4</v>
      </c>
      <c r="V5">
        <v>0.99999216189623152</v>
      </c>
      <c r="W5">
        <v>-1.9999778118470244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3.4446332869919565</v>
      </c>
      <c r="H8">
        <f t="shared" ref="H8:I10" si="0">(H3-C3)^2</f>
        <v>0</v>
      </c>
      <c r="I8">
        <f t="shared" si="0"/>
        <v>0</v>
      </c>
      <c r="L8">
        <f>(L3-B3)^2</f>
        <v>4.5364169208218785E-2</v>
      </c>
      <c r="M8">
        <f t="shared" ref="M8:N10" si="1">(M3-C3)^2</f>
        <v>0</v>
      </c>
      <c r="N8">
        <f t="shared" si="1"/>
        <v>0</v>
      </c>
      <c r="Q8">
        <f>(Q3-B3)^2</f>
        <v>1.0994398293934545E-10</v>
      </c>
      <c r="R8">
        <f t="shared" ref="R8:S10" si="2">(R3-C3)^2</f>
        <v>0</v>
      </c>
      <c r="S8">
        <f t="shared" si="2"/>
        <v>0</v>
      </c>
      <c r="V8">
        <f>(V3-B3)^2</f>
        <v>9.2417401918182792E-11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18.161795831271867</v>
      </c>
      <c r="I9">
        <f t="shared" si="0"/>
        <v>0</v>
      </c>
      <c r="L9">
        <f t="shared" ref="L9:L10" si="5">(L4-B4)^2</f>
        <v>0</v>
      </c>
      <c r="M9">
        <f t="shared" si="1"/>
        <v>6.8108334685755584E-2</v>
      </c>
      <c r="N9">
        <f t="shared" si="1"/>
        <v>0</v>
      </c>
      <c r="Q9">
        <f t="shared" ref="Q9:Q10" si="6">(Q4-B4)^2</f>
        <v>0</v>
      </c>
      <c r="R9">
        <f t="shared" si="2"/>
        <v>1.0421292801715308E-10</v>
      </c>
      <c r="S9">
        <f t="shared" si="2"/>
        <v>0</v>
      </c>
      <c r="V9">
        <f t="shared" ref="V9:V10" si="7">(V4-B4)^2</f>
        <v>0</v>
      </c>
      <c r="W9">
        <f t="shared" si="3"/>
        <v>1.2117979912251738E-14</v>
      </c>
      <c r="X9">
        <f t="shared" si="3"/>
        <v>0</v>
      </c>
    </row>
    <row r="10" spans="1:24" x14ac:dyDescent="0.3">
      <c r="G10">
        <f t="shared" si="4"/>
        <v>0.33429155768335195</v>
      </c>
      <c r="H10">
        <f t="shared" si="0"/>
        <v>11.825960316668974</v>
      </c>
      <c r="I10">
        <f t="shared" si="0"/>
        <v>0</v>
      </c>
      <c r="L10">
        <f t="shared" si="5"/>
        <v>0.3496759019436817</v>
      </c>
      <c r="M10">
        <f t="shared" si="1"/>
        <v>0.15747729297106938</v>
      </c>
      <c r="N10">
        <f t="shared" si="1"/>
        <v>0</v>
      </c>
      <c r="Q10">
        <f t="shared" si="6"/>
        <v>8.2872581286933888E-11</v>
      </c>
      <c r="R10">
        <f t="shared" si="2"/>
        <v>7.1450125059658618E-10</v>
      </c>
      <c r="S10">
        <f t="shared" si="2"/>
        <v>0</v>
      </c>
      <c r="V10">
        <f t="shared" si="7"/>
        <v>6.1435870685398395E-11</v>
      </c>
      <c r="W10">
        <f t="shared" si="3"/>
        <v>4.9231413246910282E-10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33.766680992616145</v>
      </c>
      <c r="L13">
        <f>SUM(L8:N10)</f>
        <v>0.62062569880872542</v>
      </c>
      <c r="Q13">
        <f>SUM(Q8:S10)</f>
        <v>1.0115307428400185E-9</v>
      </c>
      <c r="V13">
        <f>SUM(V8:X10)</f>
        <v>6.4617952305259628E-10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0.87472277150062094</v>
      </c>
      <c r="B21">
        <v>0.96025868485356447</v>
      </c>
      <c r="C21">
        <v>0.97145734188481947</v>
      </c>
    </row>
    <row r="22" spans="1:14" x14ac:dyDescent="0.3">
      <c r="A22">
        <v>-0.54224305359902092</v>
      </c>
      <c r="B22">
        <v>-0.56654145376574305</v>
      </c>
      <c r="C22">
        <v>-0.56746432904788646</v>
      </c>
    </row>
    <row r="23" spans="1:14" x14ac:dyDescent="0.3">
      <c r="A23">
        <v>0.13290994017784885</v>
      </c>
      <c r="B23">
        <v>0.33335864718472752</v>
      </c>
      <c r="C23">
        <v>0.37371699125013358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0.87472277150062105</v>
      </c>
      <c r="C27">
        <v>0.87472277150062105</v>
      </c>
      <c r="D27">
        <v>0.87472277150062105</v>
      </c>
      <c r="E27">
        <v>0.87472277150062105</v>
      </c>
      <c r="F27">
        <v>0.96025868485356403</v>
      </c>
      <c r="G27">
        <v>0.96025868485356403</v>
      </c>
      <c r="H27">
        <v>0.96025868485356403</v>
      </c>
      <c r="I27">
        <v>0.96025868485356403</v>
      </c>
      <c r="J27">
        <v>0.96025868485356403</v>
      </c>
      <c r="K27">
        <v>0.97145734188481903</v>
      </c>
      <c r="L27">
        <v>0.97145734188481903</v>
      </c>
      <c r="M27">
        <v>0.97145734188481903</v>
      </c>
      <c r="N27">
        <v>0.97145734188481903</v>
      </c>
    </row>
    <row r="28" spans="1:14" x14ac:dyDescent="0.3">
      <c r="A28" t="s">
        <v>3</v>
      </c>
      <c r="B28">
        <v>-0.54224305359902103</v>
      </c>
      <c r="C28">
        <v>-0.54224305359902103</v>
      </c>
      <c r="D28">
        <v>-0.54224305359902103</v>
      </c>
      <c r="E28">
        <v>-0.54224305359902103</v>
      </c>
      <c r="F28">
        <v>-0.56654145376574305</v>
      </c>
      <c r="G28">
        <v>-0.56654145376574305</v>
      </c>
      <c r="H28">
        <v>-0.56654145376574305</v>
      </c>
      <c r="I28">
        <v>-0.56654145376574305</v>
      </c>
      <c r="J28">
        <v>-0.56654145376574305</v>
      </c>
      <c r="K28">
        <v>-0.56746432904788602</v>
      </c>
      <c r="L28">
        <v>-0.56746432904788602</v>
      </c>
      <c r="M28">
        <v>-0.56746432904788602</v>
      </c>
      <c r="N28">
        <v>-0.56746432904788602</v>
      </c>
    </row>
    <row r="29" spans="1:14" x14ac:dyDescent="0.3">
      <c r="A29" t="s">
        <v>4</v>
      </c>
      <c r="B29">
        <v>0.13290994017784899</v>
      </c>
      <c r="C29">
        <v>0.13290994017784899</v>
      </c>
      <c r="D29">
        <v>0.13290994017784899</v>
      </c>
      <c r="E29">
        <v>0.13290994017784899</v>
      </c>
      <c r="F29">
        <v>0.33335864718472802</v>
      </c>
      <c r="G29">
        <v>0.33335864718472802</v>
      </c>
      <c r="H29">
        <v>0.33335864718472802</v>
      </c>
      <c r="I29">
        <v>0.33335864718472802</v>
      </c>
      <c r="J29">
        <v>0.33335864718472802</v>
      </c>
      <c r="K29">
        <v>0.37371699125013402</v>
      </c>
      <c r="L29">
        <v>0.37371699125013402</v>
      </c>
      <c r="M29">
        <v>0.37371699125013402</v>
      </c>
      <c r="N29">
        <v>0.37371699125013402</v>
      </c>
    </row>
    <row r="31" spans="1:14" x14ac:dyDescent="0.3">
      <c r="B31" s="4">
        <f>(B27-A21)</f>
        <v>1.1102230246251565E-16</v>
      </c>
      <c r="C31" s="4">
        <f>(C27-A21)</f>
        <v>1.1102230246251565E-16</v>
      </c>
      <c r="D31" s="4">
        <f>(D27-A21)</f>
        <v>1.1102230246251565E-16</v>
      </c>
      <c r="E31" s="4">
        <f>(E27-A21)</f>
        <v>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-1.1102230246251565E-16</v>
      </c>
      <c r="C32" s="4">
        <f t="shared" ref="C32:C33" si="9">(C28-A22)</f>
        <v>-1.1102230246251565E-16</v>
      </c>
      <c r="D32" s="4">
        <f t="shared" ref="D32:D33" si="10">(D28-A22)</f>
        <v>-1.1102230246251565E-16</v>
      </c>
      <c r="E32" s="4">
        <f t="shared" ref="E32:E33" si="11">(E28-A22)</f>
        <v>-1.1102230246251565E-16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1.3877787807814457E-16</v>
      </c>
      <c r="C33" s="4">
        <f t="shared" si="9"/>
        <v>1.3877787807814457E-16</v>
      </c>
      <c r="D33" s="4">
        <f t="shared" si="10"/>
        <v>1.3877787807814457E-16</v>
      </c>
      <c r="E33" s="4">
        <f t="shared" si="11"/>
        <v>1.3877787807814457E-16</v>
      </c>
      <c r="F33" s="4">
        <f t="shared" si="12"/>
        <v>4.9960036108132044E-16</v>
      </c>
      <c r="G33" s="4">
        <f t="shared" si="13"/>
        <v>4.9960036108132044E-16</v>
      </c>
      <c r="H33" s="4">
        <f t="shared" si="14"/>
        <v>4.9960036108132044E-16</v>
      </c>
      <c r="I33" s="4">
        <f t="shared" si="15"/>
        <v>4.9960036108132044E-16</v>
      </c>
      <c r="J33" s="4">
        <f t="shared" si="16"/>
        <v>4.9960036108132044E-16</v>
      </c>
      <c r="K33" s="4">
        <f t="shared" si="16"/>
        <v>4.4408920985006262E-16</v>
      </c>
      <c r="L33" s="4">
        <f t="shared" si="17"/>
        <v>4.4408920985006262E-16</v>
      </c>
      <c r="M33" s="4">
        <f t="shared" si="18"/>
        <v>4.4408920985006262E-16</v>
      </c>
      <c r="N33" s="4">
        <f t="shared" si="19"/>
        <v>4.4408920985006262E-16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</vt:lpstr>
      <vt:lpstr>19.01</vt:lpstr>
      <vt:lpstr>19.02</vt:lpstr>
      <vt:lpstr>19.03</vt:lpstr>
      <vt:lpstr>19.04</vt:lpstr>
      <vt:lpstr>19.05</vt:lpstr>
      <vt:lpstr>19.06</vt:lpstr>
      <vt:lpstr>19.07</vt:lpstr>
      <vt:lpstr>19.08</vt:lpstr>
      <vt:lpstr>19.09</vt:lpstr>
      <vt:lpstr>19.10</vt:lpstr>
      <vt:lpstr>19.11</vt:lpstr>
      <vt:lpstr>19.12</vt:lpstr>
      <vt:lpstr>19.13</vt:lpstr>
      <vt:lpstr>19.14</vt:lpstr>
      <vt:lpstr>19.15</vt:lpstr>
      <vt:lpstr>19.16</vt:lpstr>
      <vt:lpstr>19.17</vt:lpstr>
      <vt:lpstr>19.18</vt:lpstr>
      <vt:lpstr>19.19</vt:lpstr>
      <vt:lpstr>19.20</vt:lpstr>
      <vt:lpstr>19.21</vt:lpstr>
      <vt:lpstr>19.22</vt:lpstr>
      <vt:lpstr>19.23</vt:lpstr>
      <vt:lpstr>19.24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2026-04-21T01:33:25Z</dcterms:modified>
</cp:coreProperties>
</file>