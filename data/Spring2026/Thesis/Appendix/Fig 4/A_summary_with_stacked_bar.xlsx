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Fall 2025/permutation summary files/"/>
    </mc:Choice>
  </mc:AlternateContent>
  <xr:revisionPtr revIDLastSave="93" documentId="8_{8F277438-0CF2-482A-A62E-A223C2C1AFA3}" xr6:coauthVersionLast="47" xr6:coauthVersionMax="47" xr10:uidLastSave="{30965DCF-61F2-4B3D-B678-3BB8A79549A5}"/>
  <bookViews>
    <workbookView minimized="1" xWindow="2892" yWindow="288" windowWidth="18912" windowHeight="11244" tabRatio="845" activeTab="1" xr2:uid="{61DF7949-D53D-4105-9735-EE06691314FF}"/>
  </bookViews>
  <sheets>
    <sheet name="stacked graphs" sheetId="28" r:id="rId1"/>
    <sheet name="compare no const with Pb const" sheetId="27" r:id="rId2"/>
    <sheet name="No Constants" sheetId="1" r:id="rId3"/>
    <sheet name="10.23" sheetId="24" r:id="rId4"/>
    <sheet name="10.22" sheetId="23" r:id="rId5"/>
    <sheet name="10.21" sheetId="22" r:id="rId6"/>
    <sheet name="10.20" sheetId="21" r:id="rId7"/>
    <sheet name="10.19" sheetId="20" r:id="rId8"/>
    <sheet name="10.18" sheetId="19" r:id="rId9"/>
    <sheet name="10.17" sheetId="18" r:id="rId10"/>
    <sheet name="10.16" sheetId="17" r:id="rId11"/>
    <sheet name="10.15" sheetId="16" r:id="rId12"/>
    <sheet name="10.14" sheetId="15" r:id="rId13"/>
    <sheet name="10.13" sheetId="14" r:id="rId14"/>
    <sheet name="10.12" sheetId="13" r:id="rId15"/>
    <sheet name="10.11" sheetId="9" r:id="rId16"/>
    <sheet name="10.10" sheetId="25" r:id="rId17"/>
    <sheet name="10.9" sheetId="10" r:id="rId18"/>
    <sheet name="10.8" sheetId="12" r:id="rId19"/>
    <sheet name="10.7" sheetId="8" r:id="rId20"/>
    <sheet name="10.6" sheetId="7" r:id="rId21"/>
    <sheet name="10.5" sheetId="6" r:id="rId22"/>
    <sheet name="10.4" sheetId="5" r:id="rId23"/>
    <sheet name="10.3" sheetId="4" r:id="rId24"/>
    <sheet name="10.2" sheetId="3" r:id="rId25"/>
    <sheet name="10.1" sheetId="2" r:id="rId26"/>
    <sheet name="10.0" sheetId="26" r:id="rId27"/>
  </sheets>
  <definedNames>
    <definedName name="_xlnm.Print_Area" localSheetId="2">'No Constants'!$E$1:$G$27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27" l="1"/>
  <c r="Q3" i="27"/>
  <c r="P28" i="27"/>
  <c r="R3" i="27"/>
  <c r="Q4" i="27"/>
  <c r="R4" i="27"/>
  <c r="Q5" i="27"/>
  <c r="R5" i="27"/>
  <c r="Q6" i="27"/>
  <c r="R6" i="27"/>
  <c r="Q7" i="27"/>
  <c r="R7" i="27"/>
  <c r="Q8" i="27"/>
  <c r="R8" i="27"/>
  <c r="Q9" i="27"/>
  <c r="R9" i="27"/>
  <c r="Q10" i="27"/>
  <c r="R10" i="27"/>
  <c r="Q11" i="27"/>
  <c r="R11" i="27"/>
  <c r="Q12" i="27"/>
  <c r="R12" i="27"/>
  <c r="Q13" i="27"/>
  <c r="R13" i="27"/>
  <c r="Q14" i="27"/>
  <c r="R14" i="27"/>
  <c r="Q15" i="27"/>
  <c r="R15" i="27"/>
  <c r="Q16" i="27"/>
  <c r="R16" i="27"/>
  <c r="Q17" i="27"/>
  <c r="R17" i="27"/>
  <c r="Q18" i="27"/>
  <c r="R18" i="27"/>
  <c r="Q19" i="27"/>
  <c r="R19" i="27"/>
  <c r="Q20" i="27"/>
  <c r="R20" i="27"/>
  <c r="Q21" i="27"/>
  <c r="R21" i="27"/>
  <c r="Q22" i="27"/>
  <c r="R22" i="27"/>
  <c r="Q23" i="27"/>
  <c r="R23" i="27"/>
  <c r="Q24" i="27"/>
  <c r="R24" i="27"/>
  <c r="Q25" i="27"/>
  <c r="R25" i="27"/>
  <c r="R2" i="27"/>
  <c r="Q2" i="27"/>
  <c r="F27" i="1"/>
  <c r="F26" i="1"/>
  <c r="B27" i="1"/>
  <c r="B26" i="1"/>
  <c r="G15" i="26"/>
  <c r="F15" i="26"/>
  <c r="E15" i="26"/>
  <c r="G14" i="26"/>
  <c r="F14" i="26"/>
  <c r="E14" i="26"/>
  <c r="G13" i="26"/>
  <c r="F13" i="26"/>
  <c r="E13" i="26"/>
  <c r="G15" i="15"/>
  <c r="F15" i="15"/>
  <c r="E15" i="15"/>
  <c r="G14" i="15"/>
  <c r="F14" i="15"/>
  <c r="E14" i="15"/>
  <c r="G13" i="15"/>
  <c r="F13" i="15"/>
  <c r="E13" i="15"/>
  <c r="G15" i="25"/>
  <c r="F15" i="25"/>
  <c r="E15" i="25"/>
  <c r="G14" i="25"/>
  <c r="F14" i="25"/>
  <c r="E14" i="25"/>
  <c r="G13" i="25"/>
  <c r="F13" i="25"/>
  <c r="E13" i="25"/>
  <c r="E17" i="25"/>
  <c r="G15" i="24"/>
  <c r="F15" i="24"/>
  <c r="E15" i="24"/>
  <c r="G14" i="24"/>
  <c r="F14" i="24"/>
  <c r="E14" i="24"/>
  <c r="G13" i="24"/>
  <c r="F13" i="24"/>
  <c r="E13" i="24"/>
  <c r="G15" i="23"/>
  <c r="F15" i="23"/>
  <c r="E15" i="23"/>
  <c r="G14" i="23"/>
  <c r="F14" i="23"/>
  <c r="E14" i="23"/>
  <c r="G13" i="23"/>
  <c r="F13" i="23"/>
  <c r="E13" i="23"/>
  <c r="G15" i="22"/>
  <c r="F15" i="22"/>
  <c r="E15" i="22"/>
  <c r="G14" i="22"/>
  <c r="F14" i="22"/>
  <c r="E14" i="22"/>
  <c r="G13" i="22"/>
  <c r="F13" i="22"/>
  <c r="E13" i="22"/>
  <c r="G15" i="21"/>
  <c r="F15" i="21"/>
  <c r="E15" i="21"/>
  <c r="G14" i="21"/>
  <c r="F14" i="21"/>
  <c r="E14" i="21"/>
  <c r="G13" i="21"/>
  <c r="F13" i="21"/>
  <c r="E13" i="21"/>
  <c r="G15" i="20"/>
  <c r="F15" i="20"/>
  <c r="E15" i="20"/>
  <c r="G14" i="20"/>
  <c r="F14" i="20"/>
  <c r="E14" i="20"/>
  <c r="G13" i="20"/>
  <c r="F13" i="20"/>
  <c r="E13" i="20"/>
  <c r="G15" i="19"/>
  <c r="F15" i="19"/>
  <c r="E15" i="19"/>
  <c r="G14" i="19"/>
  <c r="F14" i="19"/>
  <c r="E14" i="19"/>
  <c r="G13" i="19"/>
  <c r="F13" i="19"/>
  <c r="E13" i="19"/>
  <c r="G15" i="18"/>
  <c r="F15" i="18"/>
  <c r="E15" i="18"/>
  <c r="G14" i="18"/>
  <c r="F14" i="18"/>
  <c r="E14" i="18"/>
  <c r="G13" i="18"/>
  <c r="F13" i="18"/>
  <c r="E13" i="18"/>
  <c r="E17" i="18"/>
  <c r="G15" i="17"/>
  <c r="F15" i="17"/>
  <c r="E15" i="17"/>
  <c r="G14" i="17"/>
  <c r="F14" i="17"/>
  <c r="E14" i="17"/>
  <c r="G13" i="17"/>
  <c r="F13" i="17"/>
  <c r="E13" i="17"/>
  <c r="G15" i="16"/>
  <c r="F15" i="16"/>
  <c r="E15" i="16"/>
  <c r="G14" i="16"/>
  <c r="F14" i="16"/>
  <c r="E14" i="16"/>
  <c r="G13" i="16"/>
  <c r="F13" i="16"/>
  <c r="E13" i="16"/>
  <c r="G15" i="14"/>
  <c r="F15" i="14"/>
  <c r="E15" i="14"/>
  <c r="G14" i="14"/>
  <c r="F14" i="14"/>
  <c r="E14" i="14"/>
  <c r="G13" i="14"/>
  <c r="F13" i="14"/>
  <c r="E13" i="14"/>
  <c r="G15" i="13"/>
  <c r="F15" i="13"/>
  <c r="E15" i="13"/>
  <c r="G14" i="13"/>
  <c r="F14" i="13"/>
  <c r="E14" i="13"/>
  <c r="G13" i="13"/>
  <c r="F13" i="13"/>
  <c r="E13" i="13"/>
  <c r="G15" i="12"/>
  <c r="F15" i="12"/>
  <c r="E15" i="12"/>
  <c r="G14" i="12"/>
  <c r="F14" i="12"/>
  <c r="E14" i="12"/>
  <c r="G13" i="12"/>
  <c r="F13" i="12"/>
  <c r="E13" i="12"/>
  <c r="G15" i="10"/>
  <c r="F15" i="10"/>
  <c r="E15" i="10"/>
  <c r="G14" i="10"/>
  <c r="F14" i="10"/>
  <c r="E14" i="10"/>
  <c r="G13" i="10"/>
  <c r="F13" i="10"/>
  <c r="E13" i="10"/>
  <c r="G15" i="9"/>
  <c r="F15" i="9"/>
  <c r="E15" i="9"/>
  <c r="G14" i="9"/>
  <c r="F14" i="9"/>
  <c r="E14" i="9"/>
  <c r="G13" i="9"/>
  <c r="F13" i="9"/>
  <c r="E13" i="9"/>
  <c r="E17" i="9"/>
  <c r="G15" i="8"/>
  <c r="F15" i="8"/>
  <c r="E15" i="8"/>
  <c r="G14" i="8"/>
  <c r="F14" i="8"/>
  <c r="E14" i="8"/>
  <c r="G13" i="8"/>
  <c r="F13" i="8"/>
  <c r="E13" i="8"/>
  <c r="E17" i="8"/>
  <c r="G15" i="7"/>
  <c r="F15" i="7"/>
  <c r="E15" i="7"/>
  <c r="G14" i="7"/>
  <c r="F14" i="7"/>
  <c r="E14" i="7"/>
  <c r="G13" i="7"/>
  <c r="F13" i="7"/>
  <c r="E13" i="7"/>
  <c r="G15" i="6"/>
  <c r="F15" i="6"/>
  <c r="E15" i="6"/>
  <c r="G14" i="6"/>
  <c r="F14" i="6"/>
  <c r="E14" i="6"/>
  <c r="G13" i="6"/>
  <c r="F13" i="6"/>
  <c r="E13" i="6"/>
  <c r="E17" i="6"/>
  <c r="G15" i="5"/>
  <c r="F15" i="5"/>
  <c r="E15" i="5"/>
  <c r="G14" i="5"/>
  <c r="F14" i="5"/>
  <c r="E14" i="5"/>
  <c r="G13" i="5"/>
  <c r="F13" i="5"/>
  <c r="E13" i="5"/>
  <c r="G15" i="4"/>
  <c r="F15" i="4"/>
  <c r="E15" i="4"/>
  <c r="G14" i="4"/>
  <c r="F14" i="4"/>
  <c r="E14" i="4"/>
  <c r="G13" i="4"/>
  <c r="F13" i="4"/>
  <c r="E13" i="4"/>
  <c r="G15" i="3"/>
  <c r="F15" i="3"/>
  <c r="E15" i="3"/>
  <c r="G14" i="3"/>
  <c r="F14" i="3"/>
  <c r="E14" i="3"/>
  <c r="G13" i="3"/>
  <c r="F13" i="3"/>
  <c r="E13" i="3"/>
  <c r="E14" i="2"/>
  <c r="F14" i="2"/>
  <c r="G14" i="2"/>
  <c r="E15" i="2"/>
  <c r="F15" i="2"/>
  <c r="G15" i="2"/>
  <c r="F13" i="2"/>
  <c r="G13" i="2"/>
  <c r="E13" i="2"/>
  <c r="E17" i="15"/>
  <c r="E17" i="26"/>
  <c r="E17" i="24"/>
  <c r="E17" i="23"/>
  <c r="E17" i="22"/>
  <c r="E17" i="19"/>
  <c r="E17" i="17"/>
  <c r="E17" i="16"/>
  <c r="E17" i="14"/>
  <c r="E17" i="13"/>
  <c r="E17" i="10"/>
  <c r="E17" i="7"/>
  <c r="E17" i="5"/>
  <c r="E17" i="4"/>
  <c r="E17" i="2"/>
  <c r="E17" i="21"/>
  <c r="E17" i="20"/>
  <c r="E17" i="12"/>
  <c r="E17" i="3"/>
</calcChain>
</file>

<file path=xl/sharedStrings.xml><?xml version="1.0" encoding="utf-8"?>
<sst xmlns="http://schemas.openxmlformats.org/spreadsheetml/2006/main" count="699" uniqueCount="41">
  <si>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</si>
  <si>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</si>
  <si>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</si>
  <si>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</si>
  <si>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</si>
  <si>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</si>
  <si>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</si>
  <si>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</si>
  <si>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</si>
  <si>
    <t>gene1</t>
  </si>
  <si>
    <t>gene2</t>
  </si>
  <si>
    <t>gene3</t>
  </si>
  <si>
    <t>cols regulators/rows targets</t>
  </si>
  <si>
    <t xml:space="preserve">no </t>
  </si>
  <si>
    <t>Trial</t>
  </si>
  <si>
    <t>Calculated LSE</t>
  </si>
  <si>
    <t>GRNmap LSE</t>
  </si>
  <si>
    <t>Average</t>
  </si>
  <si>
    <t>Sum</t>
  </si>
  <si>
    <t>need to double check this because extra weight in network_weights</t>
  </si>
  <si>
    <t>need to double-check, extra weight</t>
  </si>
  <si>
    <t>need to double check, extra weight</t>
  </si>
  <si>
    <t>gene2 to gene2 was 1, but changed it to 0</t>
  </si>
  <si>
    <t>changed gene2 to gene2 to 0</t>
  </si>
  <si>
    <t>w1</t>
  </si>
  <si>
    <t>w2</t>
  </si>
  <si>
    <t>w3</t>
  </si>
  <si>
    <t>w4</t>
  </si>
  <si>
    <t>Calculated LSE PB constant</t>
  </si>
  <si>
    <t>Calculated LSE No constant</t>
  </si>
  <si>
    <t>Calculated LSE B constant</t>
  </si>
  <si>
    <t>Calculated LSE P constant</t>
  </si>
  <si>
    <t>*Best</t>
  </si>
  <si>
    <t>Actual Weights</t>
  </si>
  <si>
    <r>
      <t xml:space="preserve">Weight estimates with </t>
    </r>
    <r>
      <rPr>
        <i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and b</t>
    </r>
    <r>
      <rPr>
        <i/>
        <sz val="11"/>
        <color theme="1"/>
        <rFont val="Aptos Narrow"/>
        <family val="2"/>
        <scheme val="minor"/>
      </rPr>
      <t xml:space="preserve"> held constant</t>
    </r>
  </si>
  <si>
    <r>
      <t xml:space="preserve">Weight estimates when </t>
    </r>
    <r>
      <rPr>
        <i/>
        <sz val="11"/>
        <color theme="1"/>
        <rFont val="Aptos Narrow"/>
        <family val="2"/>
        <scheme val="minor"/>
      </rPr>
      <t xml:space="preserve">P </t>
    </r>
    <r>
      <rPr>
        <sz val="11"/>
        <color theme="1"/>
        <rFont val="Aptos Narrow"/>
        <family val="2"/>
        <scheme val="minor"/>
      </rPr>
      <t xml:space="preserve">and </t>
    </r>
    <r>
      <rPr>
        <i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also estimates </t>
    </r>
  </si>
  <si>
    <t>Weight 1</t>
  </si>
  <si>
    <t>Weight2</t>
  </si>
  <si>
    <t>Weight 3</t>
  </si>
  <si>
    <t>Weight 4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</si>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</sst>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3" fillId="0" borderId="0"/>
  </cellStyleXfs>
  <cellXfs count="10">
    <xf numFmtId="0" fontId="0" fillId="0" borderId="0" xfId="0"/>
    <xf numFmtId="0" fontId="3" fillId="0" borderId="0" xfId="3"/>
    <xf numFmtId="0" fontId="4" fillId="0" borderId="0" xfId="0" applyFont="1"/>
    <xf numFmtId="0" fontId="3" fillId="0" borderId="0" xfId="1"/>
    <xf numFmtId="0" fontId="2" fillId="0" borderId="0" xfId="0" applyFont="1"/>
    <xf numFmtId="0" fontId="4" fillId="0" borderId="0" xfId="3" applyFont="1"/>
    <xf numFmtId="0" fontId="5" fillId="0" borderId="0" xfId="0" applyFont="1"/>
    <xf numFmtId="2" fontId="4" fillId="0" borderId="0" xfId="0" applyNumberFormat="1" applyFont="1"/>
    <xf numFmtId="14" fontId="0" fillId="0" borderId="0" xfId="0" applyNumberFormat="1"/>
    <xf numFmtId="11" fontId="0" fillId="0" borderId="0" xfId="0" applyNumberFormat="1"/>
  </cellXfs>
  <cellStyles count="4">
    <cellStyle name="Normal" xfId="0" builtinId="0"/>
    <cellStyle name="Normal 2" xfId="3" xr:uid="{70519227-5B63-4686-ADE9-D4CF5CB72DF2}"/>
    <cellStyle name="Normal 3" xfId="2" xr:uid="{6D324F20-C91C-4E45-A4F0-8B5D47920066}"/>
    <cellStyle name="Normal 4" xfId="1" xr:uid="{530E491E-9E52-4105-A481-D94D8643FA3F}"/>
  </cellStyles>
  <dxfs count="0"/>
  <tableStyles count="0" defaultTableStyle="TableStyleMedium2" defaultPivotStyle="PivotStyleLight16"/>
  <colors>
    <mruColors>
      <color rgb="FF337C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'stacked graphs'!$B$1</c:f>
              <c:strCache>
                <c:ptCount val="1"/>
                <c:pt idx="0">
                  <c:v>Calculated LSE PB constant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'stacked graphs'!$A$2:$A$25</c:f>
              <c:numCache>
                <c:formatCode>0.00</c:formatCode>
                <c:ptCount val="24"/>
                <c:pt idx="0">
                  <c:v>10.09</c:v>
                </c:pt>
                <c:pt idx="1">
                  <c:v>10</c:v>
                </c:pt>
                <c:pt idx="2">
                  <c:v>10.15</c:v>
                </c:pt>
                <c:pt idx="3">
                  <c:v>10.16</c:v>
                </c:pt>
                <c:pt idx="4">
                  <c:v>10.18</c:v>
                </c:pt>
                <c:pt idx="5">
                  <c:v>10.19</c:v>
                </c:pt>
                <c:pt idx="6">
                  <c:v>10.14</c:v>
                </c:pt>
                <c:pt idx="7">
                  <c:v>10.23</c:v>
                </c:pt>
                <c:pt idx="8">
                  <c:v>10.06</c:v>
                </c:pt>
                <c:pt idx="9">
                  <c:v>10.02</c:v>
                </c:pt>
                <c:pt idx="10">
                  <c:v>10.11</c:v>
                </c:pt>
                <c:pt idx="11">
                  <c:v>10.029999999999999</c:v>
                </c:pt>
                <c:pt idx="12">
                  <c:v>10.1</c:v>
                </c:pt>
                <c:pt idx="13">
                  <c:v>10.130000000000001</c:v>
                </c:pt>
                <c:pt idx="14">
                  <c:v>10.039999999999999</c:v>
                </c:pt>
                <c:pt idx="15">
                  <c:v>10.210000000000001</c:v>
                </c:pt>
                <c:pt idx="16">
                  <c:v>10.17</c:v>
                </c:pt>
                <c:pt idx="17">
                  <c:v>10.119999999999999</c:v>
                </c:pt>
                <c:pt idx="18">
                  <c:v>10.050000000000001</c:v>
                </c:pt>
                <c:pt idx="19">
                  <c:v>10.199999999999999</c:v>
                </c:pt>
                <c:pt idx="20">
                  <c:v>10.07</c:v>
                </c:pt>
                <c:pt idx="21">
                  <c:v>10.220000000000001</c:v>
                </c:pt>
                <c:pt idx="22">
                  <c:v>10.08</c:v>
                </c:pt>
                <c:pt idx="23">
                  <c:v>10.01</c:v>
                </c:pt>
              </c:numCache>
            </c:numRef>
          </c:cat>
          <c:val>
            <c:numRef>
              <c:f>'stacked graphs'!$B$2:$B$25</c:f>
              <c:numCache>
                <c:formatCode>General</c:formatCode>
                <c:ptCount val="24"/>
                <c:pt idx="0">
                  <c:v>1.6926652361025009E-12</c:v>
                </c:pt>
                <c:pt idx="1">
                  <c:v>1.6926656966503639E-12</c:v>
                </c:pt>
                <c:pt idx="2">
                  <c:v>1.1736281714087789E-11</c:v>
                </c:pt>
                <c:pt idx="3">
                  <c:v>1.1736282873632674E-11</c:v>
                </c:pt>
                <c:pt idx="4">
                  <c:v>1.1736282873632674E-11</c:v>
                </c:pt>
                <c:pt idx="5">
                  <c:v>1.4201804135251729E-11</c:v>
                </c:pt>
                <c:pt idx="6">
                  <c:v>1.4201814238030833E-11</c:v>
                </c:pt>
                <c:pt idx="7">
                  <c:v>1.9709669568599738E-11</c:v>
                </c:pt>
                <c:pt idx="8">
                  <c:v>1.970969399339831E-11</c:v>
                </c:pt>
                <c:pt idx="9">
                  <c:v>3.7583228418221325E-11</c:v>
                </c:pt>
                <c:pt idx="10">
                  <c:v>3.7583241286728069E-11</c:v>
                </c:pt>
                <c:pt idx="11">
                  <c:v>2.6712892699645868E-10</c:v>
                </c:pt>
                <c:pt idx="12">
                  <c:v>2.6712897918787831E-10</c:v>
                </c:pt>
                <c:pt idx="13">
                  <c:v>2.8576323419504846E-10</c:v>
                </c:pt>
                <c:pt idx="14">
                  <c:v>4.3454244253849839E-10</c:v>
                </c:pt>
                <c:pt idx="15">
                  <c:v>4.3454341402825142E-10</c:v>
                </c:pt>
                <c:pt idx="16">
                  <c:v>4.3489576505541156E-10</c:v>
                </c:pt>
                <c:pt idx="17">
                  <c:v>4.3489576767431899E-10</c:v>
                </c:pt>
                <c:pt idx="18">
                  <c:v>9.5642100693777928E-10</c:v>
                </c:pt>
                <c:pt idx="19">
                  <c:v>9.5642692766258606E-10</c:v>
                </c:pt>
                <c:pt idx="20">
                  <c:v>1.3345794402029193E-9</c:v>
                </c:pt>
                <c:pt idx="21">
                  <c:v>1.3345818747174865E-9</c:v>
                </c:pt>
                <c:pt idx="22">
                  <c:v>8.4660276288965343E-8</c:v>
                </c:pt>
                <c:pt idx="23">
                  <c:v>8.4660321724038567E-8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C-4736-A0EA-C0C1A0DDA95D}"/>
            </c:ext>
          </c:extLst>
        </c:ser>
        <c:ser>
          <c:idx val="1"/>
          <c:order val="1"/>
          <c:tx>
            <c:strRef>
              <c:f>'stacked graphs'!$C$1</c:f>
              <c:strCache>
                <c:ptCount val="1"/>
                <c:pt idx="0">
                  <c:v>Calculated LSE P constant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'stacked graphs'!$A$2:$A$25</c:f>
              <c:numCache>
                <c:formatCode>0.00</c:formatCode>
                <c:ptCount val="24"/>
                <c:pt idx="0">
                  <c:v>10.09</c:v>
                </c:pt>
                <c:pt idx="1">
                  <c:v>10</c:v>
                </c:pt>
                <c:pt idx="2">
                  <c:v>10.15</c:v>
                </c:pt>
                <c:pt idx="3">
                  <c:v>10.16</c:v>
                </c:pt>
                <c:pt idx="4">
                  <c:v>10.18</c:v>
                </c:pt>
                <c:pt idx="5">
                  <c:v>10.19</c:v>
                </c:pt>
                <c:pt idx="6">
                  <c:v>10.14</c:v>
                </c:pt>
                <c:pt idx="7">
                  <c:v>10.23</c:v>
                </c:pt>
                <c:pt idx="8">
                  <c:v>10.06</c:v>
                </c:pt>
                <c:pt idx="9">
                  <c:v>10.02</c:v>
                </c:pt>
                <c:pt idx="10">
                  <c:v>10.11</c:v>
                </c:pt>
                <c:pt idx="11">
                  <c:v>10.029999999999999</c:v>
                </c:pt>
                <c:pt idx="12">
                  <c:v>10.1</c:v>
                </c:pt>
                <c:pt idx="13">
                  <c:v>10.130000000000001</c:v>
                </c:pt>
                <c:pt idx="14">
                  <c:v>10.039999999999999</c:v>
                </c:pt>
                <c:pt idx="15">
                  <c:v>10.210000000000001</c:v>
                </c:pt>
                <c:pt idx="16">
                  <c:v>10.17</c:v>
                </c:pt>
                <c:pt idx="17">
                  <c:v>10.119999999999999</c:v>
                </c:pt>
                <c:pt idx="18">
                  <c:v>10.050000000000001</c:v>
                </c:pt>
                <c:pt idx="19">
                  <c:v>10.199999999999999</c:v>
                </c:pt>
                <c:pt idx="20">
                  <c:v>10.07</c:v>
                </c:pt>
                <c:pt idx="21">
                  <c:v>10.220000000000001</c:v>
                </c:pt>
                <c:pt idx="22">
                  <c:v>10.08</c:v>
                </c:pt>
                <c:pt idx="23">
                  <c:v>10.01</c:v>
                </c:pt>
              </c:numCache>
            </c:numRef>
          </c:cat>
          <c:val>
            <c:numRef>
              <c:f>'stacked graphs'!$C$2:$C$25</c:f>
              <c:numCache>
                <c:formatCode>0.00E+00</c:formatCode>
                <c:ptCount val="24"/>
                <c:pt idx="0">
                  <c:v>3.6032799999999998E-8</c:v>
                </c:pt>
                <c:pt idx="1">
                  <c:v>3.6031300000000003E-8</c:v>
                </c:pt>
                <c:pt idx="2">
                  <c:v>4.2373200000000004E-12</c:v>
                </c:pt>
                <c:pt idx="3">
                  <c:v>1.1849499999999999E-10</c:v>
                </c:pt>
                <c:pt idx="4">
                  <c:v>4.2373000000000001E-12</c:v>
                </c:pt>
                <c:pt idx="5">
                  <c:v>5.4371700000000001E-11</c:v>
                </c:pt>
                <c:pt idx="6">
                  <c:v>5.4371700000000001E-11</c:v>
                </c:pt>
                <c:pt idx="7">
                  <c:v>2.7954400000000001E-11</c:v>
                </c:pt>
                <c:pt idx="8">
                  <c:v>2.7954500000000001E-11</c:v>
                </c:pt>
                <c:pt idx="9">
                  <c:v>1.13757E-10</c:v>
                </c:pt>
                <c:pt idx="10">
                  <c:v>1.13757E-10</c:v>
                </c:pt>
                <c:pt idx="11">
                  <c:v>1.4412500000000001E-10</c:v>
                </c:pt>
                <c:pt idx="12">
                  <c:v>1.4412500000000001E-10</c:v>
                </c:pt>
                <c:pt idx="13">
                  <c:v>1.1849499999999999E-10</c:v>
                </c:pt>
                <c:pt idx="14">
                  <c:v>7.4723900000000004E-11</c:v>
                </c:pt>
                <c:pt idx="15">
                  <c:v>7.4723500000000006E-11</c:v>
                </c:pt>
                <c:pt idx="16">
                  <c:v>1.4938300000000001E-10</c:v>
                </c:pt>
                <c:pt idx="17">
                  <c:v>1.4938099999999999E-10</c:v>
                </c:pt>
                <c:pt idx="18">
                  <c:v>8.6777800000000006E-11</c:v>
                </c:pt>
                <c:pt idx="19">
                  <c:v>8.6777599999999994E-11</c:v>
                </c:pt>
                <c:pt idx="20">
                  <c:v>6.3034399999999995E-11</c:v>
                </c:pt>
                <c:pt idx="21">
                  <c:v>6.3034300000000002E-11</c:v>
                </c:pt>
                <c:pt idx="22">
                  <c:v>2.5834799999999999E-5</c:v>
                </c:pt>
                <c:pt idx="23">
                  <c:v>2.58355E-5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9C-4736-A0EA-C0C1A0DDA95D}"/>
            </c:ext>
          </c:extLst>
        </c:ser>
        <c:ser>
          <c:idx val="2"/>
          <c:order val="2"/>
          <c:tx>
            <c:strRef>
              <c:f>'stacked graphs'!$D$1</c:f>
              <c:strCache>
                <c:ptCount val="1"/>
                <c:pt idx="0">
                  <c:v>Calculated LSE B constant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'stacked graphs'!$A$2:$A$25</c:f>
              <c:numCache>
                <c:formatCode>0.00</c:formatCode>
                <c:ptCount val="24"/>
                <c:pt idx="0">
                  <c:v>10.09</c:v>
                </c:pt>
                <c:pt idx="1">
                  <c:v>10</c:v>
                </c:pt>
                <c:pt idx="2">
                  <c:v>10.15</c:v>
                </c:pt>
                <c:pt idx="3">
                  <c:v>10.16</c:v>
                </c:pt>
                <c:pt idx="4">
                  <c:v>10.18</c:v>
                </c:pt>
                <c:pt idx="5">
                  <c:v>10.19</c:v>
                </c:pt>
                <c:pt idx="6">
                  <c:v>10.14</c:v>
                </c:pt>
                <c:pt idx="7">
                  <c:v>10.23</c:v>
                </c:pt>
                <c:pt idx="8">
                  <c:v>10.06</c:v>
                </c:pt>
                <c:pt idx="9">
                  <c:v>10.02</c:v>
                </c:pt>
                <c:pt idx="10">
                  <c:v>10.11</c:v>
                </c:pt>
                <c:pt idx="11">
                  <c:v>10.029999999999999</c:v>
                </c:pt>
                <c:pt idx="12">
                  <c:v>10.1</c:v>
                </c:pt>
                <c:pt idx="13">
                  <c:v>10.130000000000001</c:v>
                </c:pt>
                <c:pt idx="14">
                  <c:v>10.039999999999999</c:v>
                </c:pt>
                <c:pt idx="15">
                  <c:v>10.210000000000001</c:v>
                </c:pt>
                <c:pt idx="16">
                  <c:v>10.17</c:v>
                </c:pt>
                <c:pt idx="17">
                  <c:v>10.119999999999999</c:v>
                </c:pt>
                <c:pt idx="18">
                  <c:v>10.050000000000001</c:v>
                </c:pt>
                <c:pt idx="19">
                  <c:v>10.199999999999999</c:v>
                </c:pt>
                <c:pt idx="20">
                  <c:v>10.07</c:v>
                </c:pt>
                <c:pt idx="21">
                  <c:v>10.220000000000001</c:v>
                </c:pt>
                <c:pt idx="22">
                  <c:v>10.08</c:v>
                </c:pt>
                <c:pt idx="23">
                  <c:v>10.01</c:v>
                </c:pt>
              </c:numCache>
            </c:numRef>
          </c:cat>
          <c:val>
            <c:numRef>
              <c:f>'stacked graphs'!$D$2:$D$25</c:f>
              <c:numCache>
                <c:formatCode>0.00E+00</c:formatCode>
                <c:ptCount val="24"/>
                <c:pt idx="0">
                  <c:v>4.3918199999999999E-7</c:v>
                </c:pt>
                <c:pt idx="1">
                  <c:v>1.02433E-7</c:v>
                </c:pt>
                <c:pt idx="2">
                  <c:v>3.6656199999999998E-8</c:v>
                </c:pt>
                <c:pt idx="3" formatCode="General">
                  <c:v>0.20782400700000001</c:v>
                </c:pt>
                <c:pt idx="4">
                  <c:v>3.66561E-8</c:v>
                </c:pt>
                <c:pt idx="5" formatCode="General">
                  <c:v>8.9254106239999995</c:v>
                </c:pt>
                <c:pt idx="6" formatCode="General">
                  <c:v>9.6323754360000002</c:v>
                </c:pt>
                <c:pt idx="7" formatCode="General">
                  <c:v>2.1577739999999999E-3</c:v>
                </c:pt>
                <c:pt idx="8" formatCode="General">
                  <c:v>3.7664655999999998E-2</c:v>
                </c:pt>
                <c:pt idx="9" formatCode="General">
                  <c:v>5.6808300000000004E-4</c:v>
                </c:pt>
                <c:pt idx="10" formatCode="General">
                  <c:v>1.9361949999999999E-3</c:v>
                </c:pt>
                <c:pt idx="11" formatCode="General">
                  <c:v>5.2472754339999996</c:v>
                </c:pt>
                <c:pt idx="12" formatCode="General">
                  <c:v>5.1552971889999997</c:v>
                </c:pt>
                <c:pt idx="13" formatCode="General">
                  <c:v>0.20782218899999999</c:v>
                </c:pt>
                <c:pt idx="14">
                  <c:v>2.1411600000000001E-6</c:v>
                </c:pt>
                <c:pt idx="15">
                  <c:v>2.14447E-6</c:v>
                </c:pt>
                <c:pt idx="16">
                  <c:v>9.9080199999999999E-9</c:v>
                </c:pt>
                <c:pt idx="17">
                  <c:v>9.9040300000000002E-9</c:v>
                </c:pt>
                <c:pt idx="18" formatCode="General">
                  <c:v>1.0147727E-2</c:v>
                </c:pt>
                <c:pt idx="19" formatCode="General">
                  <c:v>9.2399500000000002E-3</c:v>
                </c:pt>
                <c:pt idx="20" formatCode="General">
                  <c:v>5.8333059999999999E-3</c:v>
                </c:pt>
                <c:pt idx="21" formatCode="General">
                  <c:v>5.5945889999999996E-3</c:v>
                </c:pt>
                <c:pt idx="22" formatCode="General">
                  <c:v>4.492632264</c:v>
                </c:pt>
                <c:pt idx="23" formatCode="General">
                  <c:v>4.6222527429999998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9C-4736-A0EA-C0C1A0DDA95D}"/>
            </c:ext>
          </c:extLst>
        </c:ser>
        <c:ser>
          <c:idx val="3"/>
          <c:order val="3"/>
          <c:tx>
            <c:strRef>
              <c:f>'stacked graphs'!$E$1</c:f>
              <c:strCache>
                <c:ptCount val="1"/>
                <c:pt idx="0">
                  <c:v>Calculated LSE No constant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'stacked graphs'!$A$2:$A$25</c:f>
              <c:numCache>
                <c:formatCode>0.00</c:formatCode>
                <c:ptCount val="24"/>
                <c:pt idx="0">
                  <c:v>10.09</c:v>
                </c:pt>
                <c:pt idx="1">
                  <c:v>10</c:v>
                </c:pt>
                <c:pt idx="2">
                  <c:v>10.15</c:v>
                </c:pt>
                <c:pt idx="3">
                  <c:v>10.16</c:v>
                </c:pt>
                <c:pt idx="4">
                  <c:v>10.18</c:v>
                </c:pt>
                <c:pt idx="5">
                  <c:v>10.19</c:v>
                </c:pt>
                <c:pt idx="6">
                  <c:v>10.14</c:v>
                </c:pt>
                <c:pt idx="7">
                  <c:v>10.23</c:v>
                </c:pt>
                <c:pt idx="8">
                  <c:v>10.06</c:v>
                </c:pt>
                <c:pt idx="9">
                  <c:v>10.02</c:v>
                </c:pt>
                <c:pt idx="10">
                  <c:v>10.11</c:v>
                </c:pt>
                <c:pt idx="11">
                  <c:v>10.029999999999999</c:v>
                </c:pt>
                <c:pt idx="12">
                  <c:v>10.1</c:v>
                </c:pt>
                <c:pt idx="13">
                  <c:v>10.130000000000001</c:v>
                </c:pt>
                <c:pt idx="14">
                  <c:v>10.039999999999999</c:v>
                </c:pt>
                <c:pt idx="15">
                  <c:v>10.210000000000001</c:v>
                </c:pt>
                <c:pt idx="16">
                  <c:v>10.17</c:v>
                </c:pt>
                <c:pt idx="17">
                  <c:v>10.119999999999999</c:v>
                </c:pt>
                <c:pt idx="18">
                  <c:v>10.050000000000001</c:v>
                </c:pt>
                <c:pt idx="19">
                  <c:v>10.199999999999999</c:v>
                </c:pt>
                <c:pt idx="20">
                  <c:v>10.07</c:v>
                </c:pt>
                <c:pt idx="21">
                  <c:v>10.220000000000001</c:v>
                </c:pt>
                <c:pt idx="22">
                  <c:v>10.08</c:v>
                </c:pt>
                <c:pt idx="23">
                  <c:v>10.01</c:v>
                </c:pt>
              </c:numCache>
            </c:numRef>
          </c:cat>
          <c:val>
            <c:numRef>
              <c:f>'stacked graphs'!$E$2:$E$25</c:f>
              <c:numCache>
                <c:formatCode>General</c:formatCode>
                <c:ptCount val="24"/>
                <c:pt idx="0">
                  <c:v>2.0562170417729023E-2</c:v>
                </c:pt>
                <c:pt idx="1">
                  <c:v>2.0856817647377221E-2</c:v>
                </c:pt>
                <c:pt idx="2">
                  <c:v>4.4636454982343245</c:v>
                </c:pt>
                <c:pt idx="3">
                  <c:v>9.5049947115816019E-2</c:v>
                </c:pt>
                <c:pt idx="4">
                  <c:v>4.4960916134772786</c:v>
                </c:pt>
                <c:pt idx="5">
                  <c:v>6.3538134435684022</c:v>
                </c:pt>
                <c:pt idx="6">
                  <c:v>5.0433080027479935</c:v>
                </c:pt>
                <c:pt idx="7">
                  <c:v>0.15602869518460913</c:v>
                </c:pt>
                <c:pt idx="8">
                  <c:v>0.1839709298575761</c:v>
                </c:pt>
                <c:pt idx="9">
                  <c:v>8.8192464336463949</c:v>
                </c:pt>
                <c:pt idx="10">
                  <c:v>13.745057674265974</c:v>
                </c:pt>
                <c:pt idx="11">
                  <c:v>2.1252586018534085</c:v>
                </c:pt>
                <c:pt idx="12">
                  <c:v>2.1173050660466846</c:v>
                </c:pt>
                <c:pt idx="13">
                  <c:v>5.7879640939116266</c:v>
                </c:pt>
                <c:pt idx="14">
                  <c:v>3.3081978482554945E-2</c:v>
                </c:pt>
                <c:pt idx="15">
                  <c:v>3.2929287994076462E-2</c:v>
                </c:pt>
                <c:pt idx="16">
                  <c:v>25.278412316001731</c:v>
                </c:pt>
                <c:pt idx="17">
                  <c:v>25.497318462280052</c:v>
                </c:pt>
                <c:pt idx="18">
                  <c:v>1.3674552760421317</c:v>
                </c:pt>
                <c:pt idx="19">
                  <c:v>1.3650192121558928</c:v>
                </c:pt>
                <c:pt idx="20">
                  <c:v>0.34767526589679754</c:v>
                </c:pt>
                <c:pt idx="21">
                  <c:v>0.18567770376878062</c:v>
                </c:pt>
                <c:pt idx="22">
                  <c:v>4.5193042373148611</c:v>
                </c:pt>
                <c:pt idx="23">
                  <c:v>4.4872615070033159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9C-4736-A0EA-C0C1A0DDA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6623903"/>
        <c:axId val="1176630143"/>
      </c:barChart>
      <c:catAx>
        <c:axId val="1176623903"/>
        <c:scaling>
          <c:orientation val="minMax"/>
        </c:scaling>
        <c:delete val="0"/>
        <c:axPos val="t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630143"/>
        <c:crosses val="max"/>
        <c:auto val="1"/>
        <c:lblAlgn val="ctr"/>
        <c:lblOffset val="100"/>
        <c:noMultiLvlLbl val="0"/>
      </c:catAx>
      <c:valAx>
        <c:axId val="117663014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62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42677435291501"/>
          <c:y val="3.906514343367231E-2"/>
          <c:w val="0.86098576343852185"/>
          <c:h val="0.8385790242830273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numRef>
              <c:f>'compare no const with Pb const'!$A$2:$A$25</c:f>
              <c:numCache>
                <c:formatCode>0.00</c:formatCode>
                <c:ptCount val="24"/>
                <c:pt idx="0">
                  <c:v>10.09</c:v>
                </c:pt>
                <c:pt idx="1">
                  <c:v>10</c:v>
                </c:pt>
                <c:pt idx="2">
                  <c:v>10.210000000000001</c:v>
                </c:pt>
                <c:pt idx="3">
                  <c:v>10.039999999999999</c:v>
                </c:pt>
                <c:pt idx="4">
                  <c:v>10.16</c:v>
                </c:pt>
                <c:pt idx="5">
                  <c:v>10.23</c:v>
                </c:pt>
                <c:pt idx="6">
                  <c:v>10.06</c:v>
                </c:pt>
                <c:pt idx="7">
                  <c:v>10.220000000000001</c:v>
                </c:pt>
                <c:pt idx="8">
                  <c:v>10.07</c:v>
                </c:pt>
                <c:pt idx="9">
                  <c:v>10.199999999999999</c:v>
                </c:pt>
                <c:pt idx="10">
                  <c:v>10.050000000000001</c:v>
                </c:pt>
                <c:pt idx="11">
                  <c:v>10.1</c:v>
                </c:pt>
                <c:pt idx="12">
                  <c:v>10.029999999999999</c:v>
                </c:pt>
                <c:pt idx="13">
                  <c:v>10.15</c:v>
                </c:pt>
                <c:pt idx="14">
                  <c:v>10.01</c:v>
                </c:pt>
                <c:pt idx="15">
                  <c:v>10.18</c:v>
                </c:pt>
                <c:pt idx="16">
                  <c:v>10.08</c:v>
                </c:pt>
                <c:pt idx="17">
                  <c:v>10.14</c:v>
                </c:pt>
                <c:pt idx="18">
                  <c:v>10.130000000000001</c:v>
                </c:pt>
                <c:pt idx="19">
                  <c:v>10.19</c:v>
                </c:pt>
                <c:pt idx="20">
                  <c:v>10.02</c:v>
                </c:pt>
                <c:pt idx="21">
                  <c:v>10.11</c:v>
                </c:pt>
                <c:pt idx="22">
                  <c:v>10.17</c:v>
                </c:pt>
                <c:pt idx="23">
                  <c:v>10.119999999999999</c:v>
                </c:pt>
              </c:numCache>
            </c:numRef>
          </c:cat>
          <c:val>
            <c:numRef>
              <c:f>'compare no const with Pb const'!$B$2:$B$25</c:f>
              <c:numCache>
                <c:formatCode>General</c:formatCode>
                <c:ptCount val="24"/>
                <c:pt idx="0">
                  <c:v>1.6926652361025009E-12</c:v>
                </c:pt>
                <c:pt idx="1">
                  <c:v>1.6926656966503639E-12</c:v>
                </c:pt>
                <c:pt idx="2">
                  <c:v>4.3454341402825142E-10</c:v>
                </c:pt>
                <c:pt idx="3">
                  <c:v>4.3454244253849839E-10</c:v>
                </c:pt>
                <c:pt idx="4">
                  <c:v>1.1736282873632674E-11</c:v>
                </c:pt>
                <c:pt idx="5">
                  <c:v>1.9709669568599738E-11</c:v>
                </c:pt>
                <c:pt idx="6">
                  <c:v>1.970969399339831E-11</c:v>
                </c:pt>
                <c:pt idx="7">
                  <c:v>1.3345818747174865E-9</c:v>
                </c:pt>
                <c:pt idx="8">
                  <c:v>1.3345794402029193E-9</c:v>
                </c:pt>
                <c:pt idx="9">
                  <c:v>9.5642692766258606E-10</c:v>
                </c:pt>
                <c:pt idx="10">
                  <c:v>9.5642100693777928E-10</c:v>
                </c:pt>
                <c:pt idx="11">
                  <c:v>2.6712897918787831E-10</c:v>
                </c:pt>
                <c:pt idx="12">
                  <c:v>2.6712892699645868E-10</c:v>
                </c:pt>
                <c:pt idx="13">
                  <c:v>1.1736281714087789E-11</c:v>
                </c:pt>
                <c:pt idx="14">
                  <c:v>8.4660321724038567E-8</c:v>
                </c:pt>
                <c:pt idx="15">
                  <c:v>1.1736282873632674E-11</c:v>
                </c:pt>
                <c:pt idx="16">
                  <c:v>8.4660276288965343E-8</c:v>
                </c:pt>
                <c:pt idx="17">
                  <c:v>1.4201814238030833E-11</c:v>
                </c:pt>
                <c:pt idx="18">
                  <c:v>2.8576323419504846E-10</c:v>
                </c:pt>
                <c:pt idx="19">
                  <c:v>1.4201804135251729E-11</c:v>
                </c:pt>
                <c:pt idx="20">
                  <c:v>3.7583228418221325E-11</c:v>
                </c:pt>
                <c:pt idx="21">
                  <c:v>3.7583241286728069E-11</c:v>
                </c:pt>
                <c:pt idx="22">
                  <c:v>4.3489576505541156E-10</c:v>
                </c:pt>
                <c:pt idx="23">
                  <c:v>4.3489576767431899E-10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C-493B-BD1B-5DC68B7D18C9}"/>
            </c:ext>
          </c:extLst>
        </c:ser>
        <c:ser>
          <c:idx val="1"/>
          <c:order val="1"/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'compare no const with Pb const'!$A$2:$A$25</c:f>
              <c:numCache>
                <c:formatCode>0.00</c:formatCode>
                <c:ptCount val="24"/>
                <c:pt idx="0">
                  <c:v>10.09</c:v>
                </c:pt>
                <c:pt idx="1">
                  <c:v>10</c:v>
                </c:pt>
                <c:pt idx="2">
                  <c:v>10.210000000000001</c:v>
                </c:pt>
                <c:pt idx="3">
                  <c:v>10.039999999999999</c:v>
                </c:pt>
                <c:pt idx="4">
                  <c:v>10.16</c:v>
                </c:pt>
                <c:pt idx="5">
                  <c:v>10.23</c:v>
                </c:pt>
                <c:pt idx="6">
                  <c:v>10.06</c:v>
                </c:pt>
                <c:pt idx="7">
                  <c:v>10.220000000000001</c:v>
                </c:pt>
                <c:pt idx="8">
                  <c:v>10.07</c:v>
                </c:pt>
                <c:pt idx="9">
                  <c:v>10.199999999999999</c:v>
                </c:pt>
                <c:pt idx="10">
                  <c:v>10.050000000000001</c:v>
                </c:pt>
                <c:pt idx="11">
                  <c:v>10.1</c:v>
                </c:pt>
                <c:pt idx="12">
                  <c:v>10.029999999999999</c:v>
                </c:pt>
                <c:pt idx="13">
                  <c:v>10.15</c:v>
                </c:pt>
                <c:pt idx="14">
                  <c:v>10.01</c:v>
                </c:pt>
                <c:pt idx="15">
                  <c:v>10.18</c:v>
                </c:pt>
                <c:pt idx="16">
                  <c:v>10.08</c:v>
                </c:pt>
                <c:pt idx="17">
                  <c:v>10.14</c:v>
                </c:pt>
                <c:pt idx="18">
                  <c:v>10.130000000000001</c:v>
                </c:pt>
                <c:pt idx="19">
                  <c:v>10.19</c:v>
                </c:pt>
                <c:pt idx="20">
                  <c:v>10.02</c:v>
                </c:pt>
                <c:pt idx="21">
                  <c:v>10.11</c:v>
                </c:pt>
                <c:pt idx="22">
                  <c:v>10.17</c:v>
                </c:pt>
                <c:pt idx="23">
                  <c:v>10.119999999999999</c:v>
                </c:pt>
              </c:numCache>
            </c:numRef>
          </c:cat>
          <c:val>
            <c:numRef>
              <c:f>'compare no const with Pb const'!$C$2:$C$25</c:f>
              <c:numCache>
                <c:formatCode>General</c:formatCode>
                <c:ptCount val="24"/>
                <c:pt idx="0">
                  <c:v>2.0562170417729023E-2</c:v>
                </c:pt>
                <c:pt idx="1">
                  <c:v>2.0856817647377221E-2</c:v>
                </c:pt>
                <c:pt idx="2">
                  <c:v>3.2929287994076462E-2</c:v>
                </c:pt>
                <c:pt idx="3">
                  <c:v>3.3081978482554945E-2</c:v>
                </c:pt>
                <c:pt idx="4">
                  <c:v>9.5049947115816019E-2</c:v>
                </c:pt>
                <c:pt idx="5">
                  <c:v>0.15602869518460913</c:v>
                </c:pt>
                <c:pt idx="6">
                  <c:v>0.1839709298575761</c:v>
                </c:pt>
                <c:pt idx="7">
                  <c:v>0.18567770376878062</c:v>
                </c:pt>
                <c:pt idx="8">
                  <c:v>0.34767526589679754</c:v>
                </c:pt>
                <c:pt idx="9">
                  <c:v>1.3650192121558928</c:v>
                </c:pt>
                <c:pt idx="10">
                  <c:v>1.3674552760421317</c:v>
                </c:pt>
                <c:pt idx="11">
                  <c:v>2.1173050660466846</c:v>
                </c:pt>
                <c:pt idx="12">
                  <c:v>2.1252586018534085</c:v>
                </c:pt>
                <c:pt idx="13">
                  <c:v>4.4636454982343245</c:v>
                </c:pt>
                <c:pt idx="14">
                  <c:v>4.4872615070033159</c:v>
                </c:pt>
                <c:pt idx="15">
                  <c:v>4.4960916134772786</c:v>
                </c:pt>
                <c:pt idx="16">
                  <c:v>4.5193042373148611</c:v>
                </c:pt>
                <c:pt idx="17">
                  <c:v>5.0433080027479935</c:v>
                </c:pt>
                <c:pt idx="18">
                  <c:v>5.7879640939116266</c:v>
                </c:pt>
                <c:pt idx="19">
                  <c:v>6.3538134435684022</c:v>
                </c:pt>
                <c:pt idx="20">
                  <c:v>8.8192464336463949</c:v>
                </c:pt>
                <c:pt idx="21">
                  <c:v>13.745057674265974</c:v>
                </c:pt>
                <c:pt idx="22">
                  <c:v>25.278412316001731</c:v>
                </c:pt>
                <c:pt idx="23">
                  <c:v>25.497318462280052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0C-493B-BD1B-5DC68B7D1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0584656"/>
        <c:axId val="560585616"/>
      </c:barChart>
      <c:lineChart>
        <c:grouping val="standard"/>
        <c:varyColors val="0"/>
        <c:ser>
          <c:idx val="2"/>
          <c:order val="2"/>
          <c:tx>
            <c:v>avg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'compare no const with Pb const'!$Q$2:$Q$25</c:f>
              <c:numCache>
                <c:formatCode>General</c:formatCode>
                <c:ptCount val="24"/>
                <c:pt idx="0">
                  <c:v>2.6712895309216849E-10</c:v>
                </c:pt>
                <c:pt idx="1">
                  <c:v>2.6712895309216849E-10</c:v>
                </c:pt>
                <c:pt idx="2">
                  <c:v>2.6712895309216849E-10</c:v>
                </c:pt>
                <c:pt idx="3">
                  <c:v>2.6712895309216849E-10</c:v>
                </c:pt>
                <c:pt idx="4">
                  <c:v>2.6712895309216849E-10</c:v>
                </c:pt>
                <c:pt idx="5">
                  <c:v>2.6712895309216849E-10</c:v>
                </c:pt>
                <c:pt idx="6">
                  <c:v>2.6712895309216849E-10</c:v>
                </c:pt>
                <c:pt idx="7">
                  <c:v>2.6712895309216849E-10</c:v>
                </c:pt>
                <c:pt idx="8">
                  <c:v>2.6712895309216849E-10</c:v>
                </c:pt>
                <c:pt idx="9">
                  <c:v>2.6712895309216849E-10</c:v>
                </c:pt>
                <c:pt idx="10">
                  <c:v>2.6712895309216849E-10</c:v>
                </c:pt>
                <c:pt idx="11">
                  <c:v>2.6712895309216849E-10</c:v>
                </c:pt>
                <c:pt idx="12">
                  <c:v>2.6712895309216849E-10</c:v>
                </c:pt>
                <c:pt idx="13">
                  <c:v>2.6712895309216849E-10</c:v>
                </c:pt>
                <c:pt idx="14">
                  <c:v>2.6712895309216849E-10</c:v>
                </c:pt>
                <c:pt idx="15">
                  <c:v>2.6712895309216849E-10</c:v>
                </c:pt>
                <c:pt idx="16">
                  <c:v>2.6712895309216849E-10</c:v>
                </c:pt>
                <c:pt idx="17">
                  <c:v>2.6712895309216849E-10</c:v>
                </c:pt>
                <c:pt idx="18">
                  <c:v>2.6712895309216849E-10</c:v>
                </c:pt>
                <c:pt idx="19">
                  <c:v>2.6712895309216849E-10</c:v>
                </c:pt>
                <c:pt idx="20">
                  <c:v>2.6712895309216849E-10</c:v>
                </c:pt>
                <c:pt idx="21">
                  <c:v>2.6712895309216849E-10</c:v>
                </c:pt>
                <c:pt idx="22">
                  <c:v>2.6712895309216849E-10</c:v>
                </c:pt>
                <c:pt idx="23">
                  <c:v>2.6712895309216849E-10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A-44F8-A8C5-BA0BD62E20C5}"/>
            </c:ext>
          </c:extLst>
        </c:ser>
        <c:ser>
          <c:idx val="3"/>
          <c:order val="3"/>
          <c:tx>
            <c:v>mean</c:v>
          </c:tx>
          <c:spPr>
            <a:ln w="28575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no const with Pb const'!$R$2:$R$25</c:f>
              <c:numCache>
                <c:formatCode>General</c:formatCode>
                <c:ptCount val="24"/>
                <c:pt idx="0">
                  <c:v>2.1212818339500465</c:v>
                </c:pt>
                <c:pt idx="1">
                  <c:v>2.1212818339500465</c:v>
                </c:pt>
                <c:pt idx="2">
                  <c:v>2.1212818339500465</c:v>
                </c:pt>
                <c:pt idx="3">
                  <c:v>2.1212818339500465</c:v>
                </c:pt>
                <c:pt idx="4">
                  <c:v>2.1212818339500465</c:v>
                </c:pt>
                <c:pt idx="5">
                  <c:v>2.1212818339500465</c:v>
                </c:pt>
                <c:pt idx="6">
                  <c:v>2.1212818339500465</c:v>
                </c:pt>
                <c:pt idx="7">
                  <c:v>2.1212818339500465</c:v>
                </c:pt>
                <c:pt idx="8">
                  <c:v>2.1212818339500465</c:v>
                </c:pt>
                <c:pt idx="9">
                  <c:v>2.1212818339500465</c:v>
                </c:pt>
                <c:pt idx="10">
                  <c:v>2.1212818339500465</c:v>
                </c:pt>
                <c:pt idx="11">
                  <c:v>2.1212818339500465</c:v>
                </c:pt>
                <c:pt idx="12">
                  <c:v>2.1212818339500465</c:v>
                </c:pt>
                <c:pt idx="13">
                  <c:v>2.1212818339500465</c:v>
                </c:pt>
                <c:pt idx="14">
                  <c:v>2.1212818339500465</c:v>
                </c:pt>
                <c:pt idx="15">
                  <c:v>2.1212818339500465</c:v>
                </c:pt>
                <c:pt idx="16">
                  <c:v>2.1212818339500465</c:v>
                </c:pt>
                <c:pt idx="17">
                  <c:v>2.1212818339500465</c:v>
                </c:pt>
                <c:pt idx="18">
                  <c:v>2.1212818339500465</c:v>
                </c:pt>
                <c:pt idx="19">
                  <c:v>2.1212818339500465</c:v>
                </c:pt>
                <c:pt idx="20">
                  <c:v>2.1212818339500465</c:v>
                </c:pt>
                <c:pt idx="21">
                  <c:v>2.1212818339500465</c:v>
                </c:pt>
                <c:pt idx="22">
                  <c:v>2.1212818339500465</c:v>
                </c:pt>
                <c:pt idx="23">
                  <c:v>2.1212818339500465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A-44F8-A8C5-BA0BD62E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584656"/>
        <c:axId val="560585616"/>
      </c:lineChart>
      <c:catAx>
        <c:axId val="56058465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585616"/>
        <c:crossesAt val="1.0000000000000007E-13"/>
        <c:auto val="1"/>
        <c:lblAlgn val="ctr"/>
        <c:lblOffset val="100"/>
        <c:noMultiLvlLbl val="0"/>
      </c:catAx>
      <c:valAx>
        <c:axId val="560585616"/>
        <c:scaling>
          <c:logBase val="10"/>
          <c:orientation val="minMax"/>
          <c:max val="100"/>
          <c:min val="1.0000000000000007E-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58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Calculated</a:t>
            </a:r>
            <a:r>
              <a:rPr lang="en-US" baseline="0"/>
              <a:t> LSE, </a:t>
            </a:r>
            <a:r>
              <a:rPr lang="en-US"/>
              <a:t>Pb const dark, No const light, ordered by Pb const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'compare no const with Pb const'!$N$2:$N$25</c:f>
              <c:numCache>
                <c:formatCode>0.00</c:formatCode>
                <c:ptCount val="24"/>
                <c:pt idx="0">
                  <c:v>10.09</c:v>
                </c:pt>
                <c:pt idx="1">
                  <c:v>10</c:v>
                </c:pt>
                <c:pt idx="2">
                  <c:v>10.15</c:v>
                </c:pt>
                <c:pt idx="3">
                  <c:v>10.16</c:v>
                </c:pt>
                <c:pt idx="4">
                  <c:v>10.18</c:v>
                </c:pt>
                <c:pt idx="5">
                  <c:v>10.19</c:v>
                </c:pt>
                <c:pt idx="6">
                  <c:v>10.14</c:v>
                </c:pt>
                <c:pt idx="7">
                  <c:v>10.23</c:v>
                </c:pt>
                <c:pt idx="8">
                  <c:v>10.06</c:v>
                </c:pt>
                <c:pt idx="9">
                  <c:v>10.02</c:v>
                </c:pt>
                <c:pt idx="10">
                  <c:v>10.11</c:v>
                </c:pt>
                <c:pt idx="11">
                  <c:v>10.029999999999999</c:v>
                </c:pt>
                <c:pt idx="12">
                  <c:v>10.1</c:v>
                </c:pt>
                <c:pt idx="13">
                  <c:v>10.130000000000001</c:v>
                </c:pt>
                <c:pt idx="14">
                  <c:v>10.039999999999999</c:v>
                </c:pt>
                <c:pt idx="15">
                  <c:v>10.210000000000001</c:v>
                </c:pt>
                <c:pt idx="16">
                  <c:v>10.17</c:v>
                </c:pt>
                <c:pt idx="17">
                  <c:v>10.119999999999999</c:v>
                </c:pt>
                <c:pt idx="18">
                  <c:v>10.050000000000001</c:v>
                </c:pt>
                <c:pt idx="19">
                  <c:v>10.199999999999999</c:v>
                </c:pt>
                <c:pt idx="20">
                  <c:v>10.07</c:v>
                </c:pt>
                <c:pt idx="21">
                  <c:v>10.220000000000001</c:v>
                </c:pt>
                <c:pt idx="22">
                  <c:v>10.08</c:v>
                </c:pt>
                <c:pt idx="23">
                  <c:v>10.01</c:v>
                </c:pt>
              </c:numCache>
            </c:numRef>
          </c:cat>
          <c:val>
            <c:numRef>
              <c:f>'compare no const with Pb const'!$P$2:$P$25</c:f>
              <c:numCache>
                <c:formatCode>General</c:formatCode>
                <c:ptCount val="24"/>
                <c:pt idx="0">
                  <c:v>2.0562170417729023E-2</c:v>
                </c:pt>
                <c:pt idx="1">
                  <c:v>2.0856817647377221E-2</c:v>
                </c:pt>
                <c:pt idx="2">
                  <c:v>4.4636454982343245</c:v>
                </c:pt>
                <c:pt idx="3">
                  <c:v>9.5049947115816019E-2</c:v>
                </c:pt>
                <c:pt idx="4">
                  <c:v>4.4960916134772786</c:v>
                </c:pt>
                <c:pt idx="5">
                  <c:v>6.3538134435684022</c:v>
                </c:pt>
                <c:pt idx="6">
                  <c:v>5.0433080027479935</c:v>
                </c:pt>
                <c:pt idx="7">
                  <c:v>0.15602869518460913</c:v>
                </c:pt>
                <c:pt idx="8">
                  <c:v>0.1839709298575761</c:v>
                </c:pt>
                <c:pt idx="9">
                  <c:v>8.8192464336463949</c:v>
                </c:pt>
                <c:pt idx="10">
                  <c:v>13.745057674265974</c:v>
                </c:pt>
                <c:pt idx="11">
                  <c:v>2.1252586018534085</c:v>
                </c:pt>
                <c:pt idx="12">
                  <c:v>2.1173050660466846</c:v>
                </c:pt>
                <c:pt idx="13">
                  <c:v>5.7879640939116266</c:v>
                </c:pt>
                <c:pt idx="14">
                  <c:v>3.3081978482554945E-2</c:v>
                </c:pt>
                <c:pt idx="15">
                  <c:v>3.2929287994076462E-2</c:v>
                </c:pt>
                <c:pt idx="16">
                  <c:v>25.278412316001731</c:v>
                </c:pt>
                <c:pt idx="17">
                  <c:v>25.497318462280052</c:v>
                </c:pt>
                <c:pt idx="18">
                  <c:v>1.3674552760421317</c:v>
                </c:pt>
                <c:pt idx="19">
                  <c:v>1.3650192121558928</c:v>
                </c:pt>
                <c:pt idx="20">
                  <c:v>0.34767526589679754</c:v>
                </c:pt>
                <c:pt idx="21">
                  <c:v>0.18567770376878062</c:v>
                </c:pt>
                <c:pt idx="22">
                  <c:v>4.5193042373148611</c:v>
                </c:pt>
                <c:pt idx="23">
                  <c:v>4.4872615070033159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6-4227-86C2-A395216FB0E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'compare no const with Pb const'!$N$2:$N$25</c:f>
              <c:numCache>
                <c:formatCode>0.00</c:formatCode>
                <c:ptCount val="24"/>
                <c:pt idx="0">
                  <c:v>10.09</c:v>
                </c:pt>
                <c:pt idx="1">
                  <c:v>10</c:v>
                </c:pt>
                <c:pt idx="2">
                  <c:v>10.15</c:v>
                </c:pt>
                <c:pt idx="3">
                  <c:v>10.16</c:v>
                </c:pt>
                <c:pt idx="4">
                  <c:v>10.18</c:v>
                </c:pt>
                <c:pt idx="5">
                  <c:v>10.19</c:v>
                </c:pt>
                <c:pt idx="6">
                  <c:v>10.14</c:v>
                </c:pt>
                <c:pt idx="7">
                  <c:v>10.23</c:v>
                </c:pt>
                <c:pt idx="8">
                  <c:v>10.06</c:v>
                </c:pt>
                <c:pt idx="9">
                  <c:v>10.02</c:v>
                </c:pt>
                <c:pt idx="10">
                  <c:v>10.11</c:v>
                </c:pt>
                <c:pt idx="11">
                  <c:v>10.029999999999999</c:v>
                </c:pt>
                <c:pt idx="12">
                  <c:v>10.1</c:v>
                </c:pt>
                <c:pt idx="13">
                  <c:v>10.130000000000001</c:v>
                </c:pt>
                <c:pt idx="14">
                  <c:v>10.039999999999999</c:v>
                </c:pt>
                <c:pt idx="15">
                  <c:v>10.210000000000001</c:v>
                </c:pt>
                <c:pt idx="16">
                  <c:v>10.17</c:v>
                </c:pt>
                <c:pt idx="17">
                  <c:v>10.119999999999999</c:v>
                </c:pt>
                <c:pt idx="18">
                  <c:v>10.050000000000001</c:v>
                </c:pt>
                <c:pt idx="19">
                  <c:v>10.199999999999999</c:v>
                </c:pt>
                <c:pt idx="20">
                  <c:v>10.07</c:v>
                </c:pt>
                <c:pt idx="21">
                  <c:v>10.220000000000001</c:v>
                </c:pt>
                <c:pt idx="22">
                  <c:v>10.08</c:v>
                </c:pt>
                <c:pt idx="23">
                  <c:v>10.01</c:v>
                </c:pt>
              </c:numCache>
            </c:numRef>
          </c:cat>
          <c:val>
            <c:numRef>
              <c:f>'compare no const with Pb const'!#REF!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A6-4227-86C2-A395216FB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1789008"/>
        <c:axId val="560431104"/>
      </c:barChart>
      <c:catAx>
        <c:axId val="37178900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31104"/>
        <c:crossesAt val="1.0000000000000007E-13"/>
        <c:auto val="1"/>
        <c:lblAlgn val="ctr"/>
        <c:lblOffset val="100"/>
        <c:noMultiLvlLbl val="0"/>
      </c:catAx>
      <c:valAx>
        <c:axId val="560431104"/>
        <c:scaling>
          <c:logBase val="10"/>
          <c:orientation val="minMax"/>
          <c:max val="100"/>
          <c:min val="1.0000000000000007E-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8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Constants'!$B$1</c:f>
              <c:strCache>
                <c:ptCount val="1"/>
                <c:pt idx="0">
                  <c:v>Calculated LSE</c:v>
                </c:pt>
              </c:strCache>
            </c:strRef>
          </c:tx>
          <c:spPr>
            <a:solidFill>
              <a:srgbClr val="337CB7"/>
            </a:solidFill>
            <a:ln>
              <a:noFill/>
            </a:ln>
            <a:effectLst/>
          </c:spPr>
          <c:invertIfNegative val="0"/>
          <c:cat>
            <c:numRef>
              <c:f>'No Constants'!$A$2:$A$25</c:f>
              <c:numCache>
                <c:formatCode>0.00</c:formatCode>
                <c:ptCount val="24"/>
                <c:pt idx="0">
                  <c:v>10.09</c:v>
                </c:pt>
                <c:pt idx="1">
                  <c:v>10</c:v>
                </c:pt>
                <c:pt idx="2">
                  <c:v>10.210000000000001</c:v>
                </c:pt>
                <c:pt idx="3">
                  <c:v>10.039999999999999</c:v>
                </c:pt>
                <c:pt idx="4">
                  <c:v>10.16</c:v>
                </c:pt>
                <c:pt idx="5">
                  <c:v>10.23</c:v>
                </c:pt>
                <c:pt idx="6">
                  <c:v>10.06</c:v>
                </c:pt>
                <c:pt idx="7">
                  <c:v>10.220000000000001</c:v>
                </c:pt>
                <c:pt idx="8">
                  <c:v>10.07</c:v>
                </c:pt>
                <c:pt idx="9">
                  <c:v>10.199999999999999</c:v>
                </c:pt>
                <c:pt idx="10">
                  <c:v>10.050000000000001</c:v>
                </c:pt>
                <c:pt idx="11">
                  <c:v>10.1</c:v>
                </c:pt>
                <c:pt idx="12">
                  <c:v>10.029999999999999</c:v>
                </c:pt>
                <c:pt idx="13">
                  <c:v>10.15</c:v>
                </c:pt>
                <c:pt idx="14">
                  <c:v>10.01</c:v>
                </c:pt>
                <c:pt idx="15">
                  <c:v>10.18</c:v>
                </c:pt>
                <c:pt idx="16">
                  <c:v>10.08</c:v>
                </c:pt>
                <c:pt idx="17">
                  <c:v>10.14</c:v>
                </c:pt>
                <c:pt idx="18">
                  <c:v>10.130000000000001</c:v>
                </c:pt>
                <c:pt idx="19">
                  <c:v>10.19</c:v>
                </c:pt>
                <c:pt idx="20">
                  <c:v>10.02</c:v>
                </c:pt>
                <c:pt idx="21">
                  <c:v>10.11</c:v>
                </c:pt>
                <c:pt idx="22">
                  <c:v>10.17</c:v>
                </c:pt>
                <c:pt idx="23">
                  <c:v>10.119999999999999</c:v>
                </c:pt>
              </c:numCache>
            </c:numRef>
          </c:cat>
          <c:val>
            <c:numRef>
              <c:f>'No Constants'!$B$2:$B$25</c:f>
              <c:numCache>
                <c:formatCode>General</c:formatCode>
                <c:ptCount val="24"/>
                <c:pt idx="0">
                  <c:v>2.0562170417729023E-2</c:v>
                </c:pt>
                <c:pt idx="1">
                  <c:v>2.0856817647377221E-2</c:v>
                </c:pt>
                <c:pt idx="2">
                  <c:v>3.2929287994076462E-2</c:v>
                </c:pt>
                <c:pt idx="3">
                  <c:v>3.3081978482554945E-2</c:v>
                </c:pt>
                <c:pt idx="4">
                  <c:v>9.5049947115816019E-2</c:v>
                </c:pt>
                <c:pt idx="5">
                  <c:v>0.15602869518460913</c:v>
                </c:pt>
                <c:pt idx="6">
                  <c:v>0.1839709298575761</c:v>
                </c:pt>
                <c:pt idx="7">
                  <c:v>0.18567770376878062</c:v>
                </c:pt>
                <c:pt idx="8">
                  <c:v>0.34767526589679754</c:v>
                </c:pt>
                <c:pt idx="9">
                  <c:v>1.3650192121558928</c:v>
                </c:pt>
                <c:pt idx="10">
                  <c:v>1.3674552760421317</c:v>
                </c:pt>
                <c:pt idx="11">
                  <c:v>2.1173050660466846</c:v>
                </c:pt>
                <c:pt idx="12">
                  <c:v>2.1252586018534085</c:v>
                </c:pt>
                <c:pt idx="13">
                  <c:v>4.4636454982343245</c:v>
                </c:pt>
                <c:pt idx="14">
                  <c:v>4.4872615070033159</c:v>
                </c:pt>
                <c:pt idx="15">
                  <c:v>4.4960916134772786</c:v>
                </c:pt>
                <c:pt idx="16">
                  <c:v>4.5193042373148611</c:v>
                </c:pt>
                <c:pt idx="17">
                  <c:v>5.0433080027479935</c:v>
                </c:pt>
                <c:pt idx="18">
                  <c:v>5.7879640939116266</c:v>
                </c:pt>
                <c:pt idx="19">
                  <c:v>6.3538134435684022</c:v>
                </c:pt>
                <c:pt idx="20">
                  <c:v>8.8192464336463949</c:v>
                </c:pt>
                <c:pt idx="21">
                  <c:v>13.745057674265974</c:v>
                </c:pt>
                <c:pt idx="22">
                  <c:v>25.278412316001731</c:v>
                </c:pt>
                <c:pt idx="23">
                  <c:v>25.497318462280052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6-4C22-9488-42930035D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891743"/>
        <c:axId val="1279897503"/>
      </c:barChart>
      <c:catAx>
        <c:axId val="1279891743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279897503"/>
        <c:crossesAt val="1.0000000000000007E-13"/>
        <c:auto val="1"/>
        <c:lblAlgn val="ctr"/>
        <c:lblOffset val="100"/>
        <c:noMultiLvlLbl val="0"/>
      </c:catAx>
      <c:valAx>
        <c:axId val="1279897503"/>
        <c:scaling>
          <c:logBase val="10"/>
          <c:orientation val="minMax"/>
          <c:max val="10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9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337594</xdr:colOff>
      <xdr:row>4</xdr:row>
      <xdr:rowOff>31829</xdr:rowOff>
    </xdr:from>
    <xdr:to>
      <xdr:col>15</xdr:col>
      <xdr:colOff>704125</xdr:colOff>
      <xdr:row>29</xdr:row>
      <xdr:rowOff>144682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DDC040-E93A-4ACE-BF58-F42667972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589525</xdr:colOff>
      <xdr:row>32</xdr:row>
      <xdr:rowOff>49073</xdr:rowOff>
    </xdr:from>
    <xdr:to>
      <xdr:col>18</xdr:col>
      <xdr:colOff>360745</xdr:colOff>
      <xdr:row>52</xdr:row>
      <xdr:rowOff>22969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28D55D-0B9D-313D-CEDC-12A9F39EB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452437</xdr:colOff>
      <xdr:row>21</xdr:row>
      <xdr:rowOff>128587</xdr:rowOff>
    </xdr:from>
    <xdr:to>
      <xdr:col>11</xdr:col>
      <xdr:colOff>147637</xdr:colOff>
      <xdr:row>36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8D1089-1DF1-807E-7AE3-EF9B34D5B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3</xdr:row>
      <xdr:rowOff>52387</xdr:rowOff>
    </xdr:from>
    <xdr:to>
      <xdr:col>15</xdr:col>
      <xdr:colOff>381000</xdr:colOff>
      <xdr:row>17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6DA50-4012-DB17-F88E-613B20E27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965F-93CD-4FE5-A139-CC29CF67F180}">
  <dimension ref="A1:P27"/>
  <sheetViews>
    <sheetView topLeftCell="C1" zoomScale="63" zoomScaleNormal="100" workbookViewId="0">
      <selection activeCell="R9" sqref="R9"/>
    </sheetView>
  </sheetViews>
  <sheetFormatPr defaultRowHeight="14.4" x14ac:dyDescent="0.3"/>
  <cols>
    <col min="1" max="1" width="5.5546875" bestFit="1" customWidth="1"/>
    <col min="2" max="2" width="26.6640625" bestFit="1" customWidth="1"/>
    <col min="3" max="4" width="24.88671875" bestFit="1" customWidth="1"/>
    <col min="5" max="5" width="26.109375" bestFit="1" customWidth="1"/>
    <col min="14" max="14" width="5.5546875" bestFit="1" customWidth="1"/>
    <col min="15" max="15" width="26.6640625" bestFit="1" customWidth="1"/>
    <col min="16" max="16" width="26.5546875" bestFit="1" customWidth="1"/>
  </cols>
  <sheetData>
    <row r="1" spans="1:16" x14ac:dyDescent="0.3">
      <c r="A1" s="6" t="s">
        <v>14</v>
      </c>
      <c r="B1" s="6" t="s">
        <v>28</v>
      </c>
      <c r="C1" s="6" t="s">
        <v>31</v>
      </c>
      <c r="D1" s="6" t="s">
        <v>30</v>
      </c>
      <c r="E1" s="6" t="s">
        <v>29</v>
      </c>
      <c r="N1" s="6"/>
      <c r="O1" s="6"/>
      <c r="P1" s="6"/>
    </row>
    <row r="2" spans="1:16" x14ac:dyDescent="0.3">
      <c r="A2" s="7">
        <v>10.09</v>
      </c>
      <c r="B2" s="2">
        <v>1.6926652361025009E-12</v>
      </c>
      <c r="C2" s="9">
        <v>3.6032799999999998E-8</v>
      </c>
      <c r="D2" s="9">
        <v>4.3918199999999999E-7</v>
      </c>
      <c r="E2" s="2">
        <v>2.0562170417729023E-2</v>
      </c>
      <c r="N2" s="7"/>
      <c r="O2" s="2"/>
      <c r="P2" s="2"/>
    </row>
    <row r="3" spans="1:16" x14ac:dyDescent="0.3">
      <c r="A3" s="7">
        <v>10</v>
      </c>
      <c r="B3" s="2">
        <v>1.6926656966503639E-12</v>
      </c>
      <c r="C3" s="9">
        <v>3.6031300000000003E-8</v>
      </c>
      <c r="D3" s="9">
        <v>1.02433E-7</v>
      </c>
      <c r="E3" s="2">
        <v>2.0856817647377221E-2</v>
      </c>
      <c r="N3" s="7"/>
      <c r="O3" s="2"/>
      <c r="P3" s="2"/>
    </row>
    <row r="4" spans="1:16" x14ac:dyDescent="0.3">
      <c r="A4" s="7">
        <v>10.15</v>
      </c>
      <c r="B4" s="2">
        <v>1.1736281714087789E-11</v>
      </c>
      <c r="C4" s="9">
        <v>4.2373200000000004E-12</v>
      </c>
      <c r="D4" s="9">
        <v>3.6656199999999998E-8</v>
      </c>
      <c r="E4" s="2">
        <v>4.4636454982343245</v>
      </c>
      <c r="N4" s="7"/>
      <c r="O4" s="2"/>
      <c r="P4" s="2"/>
    </row>
    <row r="5" spans="1:16" x14ac:dyDescent="0.3">
      <c r="A5" s="7">
        <v>10.16</v>
      </c>
      <c r="B5" s="6">
        <v>1.1736282873632674E-11</v>
      </c>
      <c r="C5" s="9">
        <v>1.1849499999999999E-10</v>
      </c>
      <c r="D5">
        <v>0.20782400700000001</v>
      </c>
      <c r="E5" s="2">
        <v>9.5049947115816019E-2</v>
      </c>
      <c r="N5" s="7"/>
      <c r="O5" s="6"/>
      <c r="P5" s="2"/>
    </row>
    <row r="6" spans="1:16" x14ac:dyDescent="0.3">
      <c r="A6" s="7">
        <v>10.18</v>
      </c>
      <c r="B6" s="2">
        <v>1.1736282873632674E-11</v>
      </c>
      <c r="C6" s="9">
        <v>4.2373000000000001E-12</v>
      </c>
      <c r="D6" s="9">
        <v>3.66561E-8</v>
      </c>
      <c r="E6" s="2">
        <v>4.4960916134772786</v>
      </c>
      <c r="N6" s="7"/>
      <c r="O6" s="2"/>
      <c r="P6" s="2"/>
    </row>
    <row r="7" spans="1:16" x14ac:dyDescent="0.3">
      <c r="A7" s="7">
        <v>10.19</v>
      </c>
      <c r="B7" s="2">
        <v>1.4201804135251729E-11</v>
      </c>
      <c r="C7" s="9">
        <v>5.4371700000000001E-11</v>
      </c>
      <c r="D7">
        <v>8.9254106239999995</v>
      </c>
      <c r="E7" s="2">
        <v>6.3538134435684022</v>
      </c>
      <c r="N7" s="7"/>
      <c r="O7" s="2"/>
      <c r="P7" s="2"/>
    </row>
    <row r="8" spans="1:16" x14ac:dyDescent="0.3">
      <c r="A8" s="7">
        <v>10.14</v>
      </c>
      <c r="B8" s="2">
        <v>1.4201814238030833E-11</v>
      </c>
      <c r="C8" s="9">
        <v>5.4371700000000001E-11</v>
      </c>
      <c r="D8">
        <v>9.6323754360000002</v>
      </c>
      <c r="E8" s="2">
        <v>5.0433080027479935</v>
      </c>
      <c r="N8" s="7"/>
      <c r="O8" s="2"/>
      <c r="P8" s="2"/>
    </row>
    <row r="9" spans="1:16" x14ac:dyDescent="0.3">
      <c r="A9" s="7">
        <v>10.23</v>
      </c>
      <c r="B9" s="2">
        <v>1.9709669568599738E-11</v>
      </c>
      <c r="C9" s="9">
        <v>2.7954400000000001E-11</v>
      </c>
      <c r="D9">
        <v>2.1577739999999999E-3</v>
      </c>
      <c r="E9" s="2">
        <v>0.15602869518460913</v>
      </c>
      <c r="N9" s="7"/>
      <c r="O9" s="2"/>
      <c r="P9" s="2"/>
    </row>
    <row r="10" spans="1:16" x14ac:dyDescent="0.3">
      <c r="A10" s="7">
        <v>10.06</v>
      </c>
      <c r="B10" s="2">
        <v>1.970969399339831E-11</v>
      </c>
      <c r="C10" s="9">
        <v>2.7954500000000001E-11</v>
      </c>
      <c r="D10">
        <v>3.7664655999999998E-2</v>
      </c>
      <c r="E10" s="2">
        <v>0.1839709298575761</v>
      </c>
      <c r="N10" s="7"/>
      <c r="O10" s="2"/>
      <c r="P10" s="2"/>
    </row>
    <row r="11" spans="1:16" x14ac:dyDescent="0.3">
      <c r="A11" s="7">
        <v>10.02</v>
      </c>
      <c r="B11" s="2">
        <v>3.7583228418221325E-11</v>
      </c>
      <c r="C11" s="9">
        <v>1.13757E-10</v>
      </c>
      <c r="D11">
        <v>5.6808300000000004E-4</v>
      </c>
      <c r="E11" s="2">
        <v>8.8192464336463949</v>
      </c>
      <c r="N11" s="7"/>
      <c r="O11" s="2"/>
      <c r="P11" s="2"/>
    </row>
    <row r="12" spans="1:16" x14ac:dyDescent="0.3">
      <c r="A12" s="7">
        <v>10.11</v>
      </c>
      <c r="B12" s="2">
        <v>3.7583241286728069E-11</v>
      </c>
      <c r="C12" s="9">
        <v>1.13757E-10</v>
      </c>
      <c r="D12">
        <v>1.9361949999999999E-3</v>
      </c>
      <c r="E12" s="2">
        <v>13.745057674265974</v>
      </c>
      <c r="N12" s="7"/>
      <c r="O12" s="2"/>
      <c r="P12" s="2"/>
    </row>
    <row r="13" spans="1:16" x14ac:dyDescent="0.3">
      <c r="A13" s="7">
        <v>10.029999999999999</v>
      </c>
      <c r="B13" s="2">
        <v>2.6712892699645868E-10</v>
      </c>
      <c r="C13" s="9">
        <v>1.4412500000000001E-10</v>
      </c>
      <c r="D13">
        <v>5.2472754339999996</v>
      </c>
      <c r="E13" s="2">
        <v>2.1252586018534085</v>
      </c>
      <c r="N13" s="7"/>
      <c r="O13" s="2"/>
      <c r="P13" s="2"/>
    </row>
    <row r="14" spans="1:16" x14ac:dyDescent="0.3">
      <c r="A14" s="7">
        <v>10.1</v>
      </c>
      <c r="B14" s="2">
        <v>2.6712897918787831E-10</v>
      </c>
      <c r="C14" s="9">
        <v>1.4412500000000001E-10</v>
      </c>
      <c r="D14">
        <v>5.1552971889999997</v>
      </c>
      <c r="E14" s="2">
        <v>2.1173050660466846</v>
      </c>
      <c r="N14" s="7"/>
      <c r="O14" s="2"/>
      <c r="P14" s="2"/>
    </row>
    <row r="15" spans="1:16" x14ac:dyDescent="0.3">
      <c r="A15" s="7">
        <v>10.130000000000001</v>
      </c>
      <c r="B15" s="2">
        <v>2.8576323419504846E-10</v>
      </c>
      <c r="C15" s="9">
        <v>1.1849499999999999E-10</v>
      </c>
      <c r="D15">
        <v>0.20782218899999999</v>
      </c>
      <c r="E15" s="2">
        <v>5.7879640939116266</v>
      </c>
      <c r="N15" s="7"/>
      <c r="O15" s="2"/>
      <c r="P15" s="2"/>
    </row>
    <row r="16" spans="1:16" x14ac:dyDescent="0.3">
      <c r="A16" s="7">
        <v>10.039999999999999</v>
      </c>
      <c r="B16" s="2">
        <v>4.3454244253849839E-10</v>
      </c>
      <c r="C16" s="9">
        <v>7.4723900000000004E-11</v>
      </c>
      <c r="D16" s="9">
        <v>2.1411600000000001E-6</v>
      </c>
      <c r="E16" s="2">
        <v>3.3081978482554945E-2</v>
      </c>
      <c r="N16" s="7"/>
      <c r="O16" s="2"/>
      <c r="P16" s="2"/>
    </row>
    <row r="17" spans="1:16" x14ac:dyDescent="0.3">
      <c r="A17" s="7">
        <v>10.210000000000001</v>
      </c>
      <c r="B17" s="2">
        <v>4.3454341402825142E-10</v>
      </c>
      <c r="C17" s="9">
        <v>7.4723500000000006E-11</v>
      </c>
      <c r="D17" s="9">
        <v>2.14447E-6</v>
      </c>
      <c r="E17" s="2">
        <v>3.2929287994076462E-2</v>
      </c>
      <c r="N17" s="7"/>
      <c r="O17" s="2"/>
      <c r="P17" s="2"/>
    </row>
    <row r="18" spans="1:16" x14ac:dyDescent="0.3">
      <c r="A18" s="7">
        <v>10.17</v>
      </c>
      <c r="B18" s="2">
        <v>4.3489576505541156E-10</v>
      </c>
      <c r="C18" s="9">
        <v>1.4938300000000001E-10</v>
      </c>
      <c r="D18" s="9">
        <v>9.9080199999999999E-9</v>
      </c>
      <c r="E18" s="2">
        <v>25.278412316001731</v>
      </c>
      <c r="N18" s="7"/>
      <c r="O18" s="2"/>
      <c r="P18" s="2"/>
    </row>
    <row r="19" spans="1:16" x14ac:dyDescent="0.3">
      <c r="A19" s="7">
        <v>10.119999999999999</v>
      </c>
      <c r="B19" s="2">
        <v>4.3489576767431899E-10</v>
      </c>
      <c r="C19" s="9">
        <v>1.4938099999999999E-10</v>
      </c>
      <c r="D19" s="9">
        <v>9.9040300000000002E-9</v>
      </c>
      <c r="E19" s="2">
        <v>25.497318462280052</v>
      </c>
      <c r="N19" s="7"/>
      <c r="O19" s="2"/>
      <c r="P19" s="2"/>
    </row>
    <row r="20" spans="1:16" x14ac:dyDescent="0.3">
      <c r="A20" s="7">
        <v>10.050000000000001</v>
      </c>
      <c r="B20" s="2">
        <v>9.5642100693777928E-10</v>
      </c>
      <c r="C20" s="9">
        <v>8.6777800000000006E-11</v>
      </c>
      <c r="D20">
        <v>1.0147727E-2</v>
      </c>
      <c r="E20" s="2">
        <v>1.3674552760421317</v>
      </c>
      <c r="N20" s="7"/>
      <c r="O20" s="2"/>
      <c r="P20" s="2"/>
    </row>
    <row r="21" spans="1:16" x14ac:dyDescent="0.3">
      <c r="A21" s="7">
        <v>10.199999999999999</v>
      </c>
      <c r="B21" s="2">
        <v>9.5642692766258606E-10</v>
      </c>
      <c r="C21" s="9">
        <v>8.6777599999999994E-11</v>
      </c>
      <c r="D21">
        <v>9.2399500000000002E-3</v>
      </c>
      <c r="E21" s="2">
        <v>1.3650192121558928</v>
      </c>
      <c r="N21" s="7"/>
      <c r="O21" s="2"/>
      <c r="P21" s="2"/>
    </row>
    <row r="22" spans="1:16" x14ac:dyDescent="0.3">
      <c r="A22" s="7">
        <v>10.07</v>
      </c>
      <c r="B22" s="2">
        <v>1.3345794402029193E-9</v>
      </c>
      <c r="C22" s="9">
        <v>6.3034399999999995E-11</v>
      </c>
      <c r="D22">
        <v>5.8333059999999999E-3</v>
      </c>
      <c r="E22" s="2">
        <v>0.34767526589679754</v>
      </c>
      <c r="N22" s="7"/>
      <c r="O22" s="2"/>
      <c r="P22" s="2"/>
    </row>
    <row r="23" spans="1:16" x14ac:dyDescent="0.3">
      <c r="A23" s="7">
        <v>10.220000000000001</v>
      </c>
      <c r="B23" s="2">
        <v>1.3345818747174865E-9</v>
      </c>
      <c r="C23" s="9">
        <v>6.3034300000000002E-11</v>
      </c>
      <c r="D23">
        <v>5.5945889999999996E-3</v>
      </c>
      <c r="E23" s="2">
        <v>0.18567770376878062</v>
      </c>
      <c r="N23" s="7"/>
      <c r="O23" s="2"/>
      <c r="P23" s="2"/>
    </row>
    <row r="24" spans="1:16" x14ac:dyDescent="0.3">
      <c r="A24" s="7">
        <v>10.08</v>
      </c>
      <c r="B24" s="2">
        <v>8.4660276288965343E-8</v>
      </c>
      <c r="C24" s="9">
        <v>2.5834799999999999E-5</v>
      </c>
      <c r="D24">
        <v>4.492632264</v>
      </c>
      <c r="E24" s="2">
        <v>4.5193042373148611</v>
      </c>
      <c r="N24" s="7"/>
      <c r="O24" s="2"/>
      <c r="P24" s="2"/>
    </row>
    <row r="25" spans="1:16" x14ac:dyDescent="0.3">
      <c r="A25" s="7">
        <v>10.01</v>
      </c>
      <c r="B25" s="2">
        <v>8.4660321724038567E-8</v>
      </c>
      <c r="C25" s="9">
        <v>2.58355E-5</v>
      </c>
      <c r="D25">
        <v>4.6222527429999998</v>
      </c>
      <c r="E25" s="2">
        <v>4.4872615070033159</v>
      </c>
      <c r="N25" s="7"/>
      <c r="O25" s="2"/>
      <c r="P25" s="2"/>
    </row>
    <row r="26" spans="1:16" x14ac:dyDescent="0.3">
      <c r="D26" s="9"/>
      <c r="N26" s="2"/>
      <c r="O26" s="2"/>
      <c r="P26" s="2"/>
    </row>
    <row r="27" spans="1:16" x14ac:dyDescent="0.3">
      <c r="D27" s="9"/>
      <c r="N27" s="2"/>
      <c r="O27" s="2"/>
      <c r="P27" s="2"/>
    </row>
  </sheetData>
  <sortState xmlns:xlrd2="http://schemas.microsoft.com/office/spreadsheetml/2017/richdata2" ref="A2:E25">
    <sortCondition ref="B2:B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621E-0A74-49DE-89D2-FD61DCF83CEF}">
  <dimension ref="A1:R28"/>
  <sheetViews>
    <sheetView tabSelected="1" zoomScale="78" zoomScaleNormal="49" workbookViewId="0">
      <selection activeCell="A2" sqref="A2:A25"/>
    </sheetView>
  </sheetViews>
  <sheetFormatPr defaultRowHeight="14.4" x14ac:dyDescent="0.3"/>
  <cols>
    <col min="1" max="1" width="5.5546875" bestFit="1" customWidth="1"/>
    <col min="2" max="2" width="26.6640625" bestFit="1" customWidth="1"/>
    <col min="3" max="3" width="26.5546875" bestFit="1" customWidth="1"/>
    <col min="14" max="14" width="5.5546875" bestFit="1" customWidth="1"/>
    <col min="15" max="15" width="26.6640625" bestFit="1" customWidth="1"/>
    <col min="16" max="16" width="26.5546875" bestFit="1" customWidth="1"/>
    <col min="17" max="17" width="13.109375" bestFit="1" customWidth="1"/>
  </cols>
  <sheetData>
    <row r="1" spans="1:18" x14ac:dyDescent="0.3">
      <c r="A1" s="6" t="s">
        <v>14</v>
      </c>
      <c r="B1" s="6" t="s">
        <v>28</v>
      </c>
      <c r="C1" s="6" t="s">
        <v>29</v>
      </c>
      <c r="N1" s="6" t="s">
        <v>14</v>
      </c>
      <c r="O1" s="6" t="s">
        <v>28</v>
      </c>
      <c r="P1" s="6" t="s">
        <v>29</v>
      </c>
    </row>
    <row r="2" spans="1:18" x14ac:dyDescent="0.3">
      <c r="A2" s="7">
        <v>10.09</v>
      </c>
      <c r="B2" s="2">
        <v>1.6926652361025009E-12</v>
      </c>
      <c r="C2" s="2">
        <v>2.0562170417729023E-2</v>
      </c>
      <c r="N2" s="7">
        <v>10.09</v>
      </c>
      <c r="O2" s="2">
        <v>1.6926652361025009E-12</v>
      </c>
      <c r="P2" s="2">
        <v>2.0562170417729023E-2</v>
      </c>
      <c r="Q2">
        <f>$O$28</f>
        <v>2.6712895309216849E-10</v>
      </c>
      <c r="R2">
        <f>$P$28</f>
        <v>2.1212818339500465</v>
      </c>
    </row>
    <row r="3" spans="1:18" x14ac:dyDescent="0.3">
      <c r="A3" s="7">
        <v>10</v>
      </c>
      <c r="B3" s="2">
        <v>1.6926656966503639E-12</v>
      </c>
      <c r="C3" s="2">
        <v>2.0856817647377221E-2</v>
      </c>
      <c r="N3" s="7">
        <v>10</v>
      </c>
      <c r="O3" s="2">
        <v>1.6926656966503639E-12</v>
      </c>
      <c r="P3" s="2">
        <v>2.0856817647377221E-2</v>
      </c>
      <c r="Q3">
        <f t="shared" ref="Q3:Q25" si="0">$O$28</f>
        <v>2.6712895309216849E-10</v>
      </c>
      <c r="R3">
        <f t="shared" ref="R3:R25" si="1">$P$28</f>
        <v>2.1212818339500465</v>
      </c>
    </row>
    <row r="4" spans="1:18" x14ac:dyDescent="0.3">
      <c r="A4" s="7">
        <v>10.210000000000001</v>
      </c>
      <c r="B4" s="2">
        <v>4.3454341402825142E-10</v>
      </c>
      <c r="C4" s="2">
        <v>3.2929287994076462E-2</v>
      </c>
      <c r="N4" s="7">
        <v>10.15</v>
      </c>
      <c r="O4" s="2">
        <v>1.1736281714087789E-11</v>
      </c>
      <c r="P4" s="2">
        <v>4.4636454982343245</v>
      </c>
      <c r="Q4">
        <f t="shared" si="0"/>
        <v>2.6712895309216849E-10</v>
      </c>
      <c r="R4">
        <f t="shared" si="1"/>
        <v>2.1212818339500465</v>
      </c>
    </row>
    <row r="5" spans="1:18" x14ac:dyDescent="0.3">
      <c r="A5" s="7">
        <v>10.039999999999999</v>
      </c>
      <c r="B5" s="2">
        <v>4.3454244253849839E-10</v>
      </c>
      <c r="C5" s="2">
        <v>3.3081978482554945E-2</v>
      </c>
      <c r="N5" s="7">
        <v>10.16</v>
      </c>
      <c r="O5" s="6">
        <v>1.1736282873632674E-11</v>
      </c>
      <c r="P5" s="2">
        <v>9.5049947115816019E-2</v>
      </c>
      <c r="Q5">
        <f t="shared" si="0"/>
        <v>2.6712895309216849E-10</v>
      </c>
      <c r="R5">
        <f t="shared" si="1"/>
        <v>2.1212818339500465</v>
      </c>
    </row>
    <row r="6" spans="1:18" x14ac:dyDescent="0.3">
      <c r="A6" s="7">
        <v>10.16</v>
      </c>
      <c r="B6" s="6">
        <v>1.1736282873632674E-11</v>
      </c>
      <c r="C6" s="2">
        <v>9.5049947115816019E-2</v>
      </c>
      <c r="N6" s="7">
        <v>10.18</v>
      </c>
      <c r="O6" s="2">
        <v>1.1736282873632674E-11</v>
      </c>
      <c r="P6" s="2">
        <v>4.4960916134772786</v>
      </c>
      <c r="Q6">
        <f t="shared" si="0"/>
        <v>2.6712895309216849E-10</v>
      </c>
      <c r="R6">
        <f t="shared" si="1"/>
        <v>2.1212818339500465</v>
      </c>
    </row>
    <row r="7" spans="1:18" x14ac:dyDescent="0.3">
      <c r="A7" s="7">
        <v>10.23</v>
      </c>
      <c r="B7" s="2">
        <v>1.9709669568599738E-11</v>
      </c>
      <c r="C7" s="2">
        <v>0.15602869518460913</v>
      </c>
      <c r="N7" s="7">
        <v>10.19</v>
      </c>
      <c r="O7" s="2">
        <v>1.4201804135251729E-11</v>
      </c>
      <c r="P7" s="2">
        <v>6.3538134435684022</v>
      </c>
      <c r="Q7">
        <f t="shared" si="0"/>
        <v>2.6712895309216849E-10</v>
      </c>
      <c r="R7">
        <f t="shared" si="1"/>
        <v>2.1212818339500465</v>
      </c>
    </row>
    <row r="8" spans="1:18" x14ac:dyDescent="0.3">
      <c r="A8" s="7">
        <v>10.06</v>
      </c>
      <c r="B8" s="2">
        <v>1.970969399339831E-11</v>
      </c>
      <c r="C8" s="2">
        <v>0.1839709298575761</v>
      </c>
      <c r="N8" s="7">
        <v>10.14</v>
      </c>
      <c r="O8" s="2">
        <v>1.4201814238030833E-11</v>
      </c>
      <c r="P8" s="2">
        <v>5.0433080027479935</v>
      </c>
      <c r="Q8">
        <f t="shared" si="0"/>
        <v>2.6712895309216849E-10</v>
      </c>
      <c r="R8">
        <f t="shared" si="1"/>
        <v>2.1212818339500465</v>
      </c>
    </row>
    <row r="9" spans="1:18" x14ac:dyDescent="0.3">
      <c r="A9" s="7">
        <v>10.220000000000001</v>
      </c>
      <c r="B9" s="2">
        <v>1.3345818747174865E-9</v>
      </c>
      <c r="C9" s="2">
        <v>0.18567770376878062</v>
      </c>
      <c r="N9" s="7">
        <v>10.23</v>
      </c>
      <c r="O9" s="2">
        <v>1.9709669568599738E-11</v>
      </c>
      <c r="P9" s="2">
        <v>0.15602869518460913</v>
      </c>
      <c r="Q9">
        <f t="shared" si="0"/>
        <v>2.6712895309216849E-10</v>
      </c>
      <c r="R9">
        <f t="shared" si="1"/>
        <v>2.1212818339500465</v>
      </c>
    </row>
    <row r="10" spans="1:18" x14ac:dyDescent="0.3">
      <c r="A10" s="7">
        <v>10.07</v>
      </c>
      <c r="B10" s="2">
        <v>1.3345794402029193E-9</v>
      </c>
      <c r="C10" s="2">
        <v>0.34767526589679754</v>
      </c>
      <c r="N10" s="7">
        <v>10.06</v>
      </c>
      <c r="O10" s="2">
        <v>1.970969399339831E-11</v>
      </c>
      <c r="P10" s="2">
        <v>0.1839709298575761</v>
      </c>
      <c r="Q10">
        <f t="shared" si="0"/>
        <v>2.6712895309216849E-10</v>
      </c>
      <c r="R10">
        <f t="shared" si="1"/>
        <v>2.1212818339500465</v>
      </c>
    </row>
    <row r="11" spans="1:18" x14ac:dyDescent="0.3">
      <c r="A11" s="7">
        <v>10.199999999999999</v>
      </c>
      <c r="B11" s="2">
        <v>9.5642692766258606E-10</v>
      </c>
      <c r="C11" s="2">
        <v>1.3650192121558928</v>
      </c>
      <c r="N11" s="7">
        <v>10.02</v>
      </c>
      <c r="O11" s="2">
        <v>3.7583228418221325E-11</v>
      </c>
      <c r="P11" s="2">
        <v>8.8192464336463949</v>
      </c>
      <c r="Q11">
        <f t="shared" si="0"/>
        <v>2.6712895309216849E-10</v>
      </c>
      <c r="R11">
        <f t="shared" si="1"/>
        <v>2.1212818339500465</v>
      </c>
    </row>
    <row r="12" spans="1:18" x14ac:dyDescent="0.3">
      <c r="A12" s="7">
        <v>10.050000000000001</v>
      </c>
      <c r="B12" s="2">
        <v>9.5642100693777928E-10</v>
      </c>
      <c r="C12" s="2">
        <v>1.3674552760421317</v>
      </c>
      <c r="N12" s="7">
        <v>10.11</v>
      </c>
      <c r="O12" s="2">
        <v>3.7583241286728069E-11</v>
      </c>
      <c r="P12" s="2">
        <v>13.745057674265974</v>
      </c>
      <c r="Q12">
        <f t="shared" si="0"/>
        <v>2.6712895309216849E-10</v>
      </c>
      <c r="R12">
        <f t="shared" si="1"/>
        <v>2.1212818339500465</v>
      </c>
    </row>
    <row r="13" spans="1:18" x14ac:dyDescent="0.3">
      <c r="A13" s="7">
        <v>10.1</v>
      </c>
      <c r="B13" s="2">
        <v>2.6712897918787831E-10</v>
      </c>
      <c r="C13" s="2">
        <v>2.1173050660466846</v>
      </c>
      <c r="N13" s="7">
        <v>10.029999999999999</v>
      </c>
      <c r="O13" s="2">
        <v>2.6712892699645868E-10</v>
      </c>
      <c r="P13" s="2">
        <v>2.1252586018534085</v>
      </c>
      <c r="Q13">
        <f t="shared" si="0"/>
        <v>2.6712895309216849E-10</v>
      </c>
      <c r="R13">
        <f t="shared" si="1"/>
        <v>2.1212818339500465</v>
      </c>
    </row>
    <row r="14" spans="1:18" x14ac:dyDescent="0.3">
      <c r="A14" s="7">
        <v>10.029999999999999</v>
      </c>
      <c r="B14" s="2">
        <v>2.6712892699645868E-10</v>
      </c>
      <c r="C14" s="2">
        <v>2.1252586018534085</v>
      </c>
      <c r="N14" s="7">
        <v>10.1</v>
      </c>
      <c r="O14" s="2">
        <v>2.6712897918787831E-10</v>
      </c>
      <c r="P14" s="2">
        <v>2.1173050660466846</v>
      </c>
      <c r="Q14">
        <f t="shared" si="0"/>
        <v>2.6712895309216849E-10</v>
      </c>
      <c r="R14">
        <f t="shared" si="1"/>
        <v>2.1212818339500465</v>
      </c>
    </row>
    <row r="15" spans="1:18" x14ac:dyDescent="0.3">
      <c r="A15" s="7">
        <v>10.15</v>
      </c>
      <c r="B15" s="2">
        <v>1.1736281714087789E-11</v>
      </c>
      <c r="C15" s="2">
        <v>4.4636454982343245</v>
      </c>
      <c r="N15" s="7">
        <v>10.130000000000001</v>
      </c>
      <c r="O15" s="2">
        <v>2.8576323419504846E-10</v>
      </c>
      <c r="P15" s="2">
        <v>5.7879640939116266</v>
      </c>
      <c r="Q15">
        <f t="shared" si="0"/>
        <v>2.6712895309216849E-10</v>
      </c>
      <c r="R15">
        <f t="shared" si="1"/>
        <v>2.1212818339500465</v>
      </c>
    </row>
    <row r="16" spans="1:18" x14ac:dyDescent="0.3">
      <c r="A16" s="7">
        <v>10.01</v>
      </c>
      <c r="B16" s="2">
        <v>8.4660321724038567E-8</v>
      </c>
      <c r="C16" s="2">
        <v>4.4872615070033159</v>
      </c>
      <c r="N16" s="7">
        <v>10.039999999999999</v>
      </c>
      <c r="O16" s="2">
        <v>4.3454244253849839E-10</v>
      </c>
      <c r="P16" s="2">
        <v>3.3081978482554945E-2</v>
      </c>
      <c r="Q16">
        <f t="shared" si="0"/>
        <v>2.6712895309216849E-10</v>
      </c>
      <c r="R16">
        <f t="shared" si="1"/>
        <v>2.1212818339500465</v>
      </c>
    </row>
    <row r="17" spans="1:18" x14ac:dyDescent="0.3">
      <c r="A17" s="7">
        <v>10.18</v>
      </c>
      <c r="B17" s="2">
        <v>1.1736282873632674E-11</v>
      </c>
      <c r="C17" s="2">
        <v>4.4960916134772786</v>
      </c>
      <c r="N17" s="7">
        <v>10.210000000000001</v>
      </c>
      <c r="O17" s="2">
        <v>4.3454341402825142E-10</v>
      </c>
      <c r="P17" s="2">
        <v>3.2929287994076462E-2</v>
      </c>
      <c r="Q17">
        <f t="shared" si="0"/>
        <v>2.6712895309216849E-10</v>
      </c>
      <c r="R17">
        <f t="shared" si="1"/>
        <v>2.1212818339500465</v>
      </c>
    </row>
    <row r="18" spans="1:18" x14ac:dyDescent="0.3">
      <c r="A18" s="7">
        <v>10.08</v>
      </c>
      <c r="B18" s="2">
        <v>8.4660276288965343E-8</v>
      </c>
      <c r="C18" s="2">
        <v>4.5193042373148611</v>
      </c>
      <c r="N18" s="7">
        <v>10.17</v>
      </c>
      <c r="O18" s="2">
        <v>4.3489576505541156E-10</v>
      </c>
      <c r="P18" s="2">
        <v>25.278412316001731</v>
      </c>
      <c r="Q18">
        <f t="shared" si="0"/>
        <v>2.6712895309216849E-10</v>
      </c>
      <c r="R18">
        <f t="shared" si="1"/>
        <v>2.1212818339500465</v>
      </c>
    </row>
    <row r="19" spans="1:18" x14ac:dyDescent="0.3">
      <c r="A19" s="7">
        <v>10.14</v>
      </c>
      <c r="B19" s="2">
        <v>1.4201814238030833E-11</v>
      </c>
      <c r="C19" s="2">
        <v>5.0433080027479935</v>
      </c>
      <c r="N19" s="7">
        <v>10.119999999999999</v>
      </c>
      <c r="O19" s="2">
        <v>4.3489576767431899E-10</v>
      </c>
      <c r="P19" s="2">
        <v>25.497318462280052</v>
      </c>
      <c r="Q19">
        <f t="shared" si="0"/>
        <v>2.6712895309216849E-10</v>
      </c>
      <c r="R19">
        <f t="shared" si="1"/>
        <v>2.1212818339500465</v>
      </c>
    </row>
    <row r="20" spans="1:18" x14ac:dyDescent="0.3">
      <c r="A20" s="7">
        <v>10.130000000000001</v>
      </c>
      <c r="B20" s="2">
        <v>2.8576323419504846E-10</v>
      </c>
      <c r="C20" s="2">
        <v>5.7879640939116266</v>
      </c>
      <c r="N20" s="7">
        <v>10.050000000000001</v>
      </c>
      <c r="O20" s="2">
        <v>9.5642100693777928E-10</v>
      </c>
      <c r="P20" s="2">
        <v>1.3674552760421317</v>
      </c>
      <c r="Q20">
        <f t="shared" si="0"/>
        <v>2.6712895309216849E-10</v>
      </c>
      <c r="R20">
        <f t="shared" si="1"/>
        <v>2.1212818339500465</v>
      </c>
    </row>
    <row r="21" spans="1:18" x14ac:dyDescent="0.3">
      <c r="A21" s="7">
        <v>10.19</v>
      </c>
      <c r="B21" s="2">
        <v>1.4201804135251729E-11</v>
      </c>
      <c r="C21" s="2">
        <v>6.3538134435684022</v>
      </c>
      <c r="N21" s="7">
        <v>10.199999999999999</v>
      </c>
      <c r="O21" s="2">
        <v>9.5642692766258606E-10</v>
      </c>
      <c r="P21" s="2">
        <v>1.3650192121558928</v>
      </c>
      <c r="Q21">
        <f t="shared" si="0"/>
        <v>2.6712895309216849E-10</v>
      </c>
      <c r="R21">
        <f t="shared" si="1"/>
        <v>2.1212818339500465</v>
      </c>
    </row>
    <row r="22" spans="1:18" x14ac:dyDescent="0.3">
      <c r="A22" s="7">
        <v>10.02</v>
      </c>
      <c r="B22" s="2">
        <v>3.7583228418221325E-11</v>
      </c>
      <c r="C22" s="2">
        <v>8.8192464336463949</v>
      </c>
      <c r="N22" s="7">
        <v>10.07</v>
      </c>
      <c r="O22" s="2">
        <v>1.3345794402029193E-9</v>
      </c>
      <c r="P22" s="2">
        <v>0.34767526589679754</v>
      </c>
      <c r="Q22">
        <f t="shared" si="0"/>
        <v>2.6712895309216849E-10</v>
      </c>
      <c r="R22">
        <f t="shared" si="1"/>
        <v>2.1212818339500465</v>
      </c>
    </row>
    <row r="23" spans="1:18" x14ac:dyDescent="0.3">
      <c r="A23" s="7">
        <v>10.11</v>
      </c>
      <c r="B23" s="2">
        <v>3.7583241286728069E-11</v>
      </c>
      <c r="C23" s="2">
        <v>13.745057674265974</v>
      </c>
      <c r="N23" s="7">
        <v>10.220000000000001</v>
      </c>
      <c r="O23" s="2">
        <v>1.3345818747174865E-9</v>
      </c>
      <c r="P23" s="2">
        <v>0.18567770376878062</v>
      </c>
      <c r="Q23">
        <f t="shared" si="0"/>
        <v>2.6712895309216849E-10</v>
      </c>
      <c r="R23">
        <f t="shared" si="1"/>
        <v>2.1212818339500465</v>
      </c>
    </row>
    <row r="24" spans="1:18" x14ac:dyDescent="0.3">
      <c r="A24" s="7">
        <v>10.17</v>
      </c>
      <c r="B24" s="2">
        <v>4.3489576505541156E-10</v>
      </c>
      <c r="C24" s="2">
        <v>25.278412316001731</v>
      </c>
      <c r="N24" s="7">
        <v>10.08</v>
      </c>
      <c r="O24" s="2">
        <v>8.4660276288965343E-8</v>
      </c>
      <c r="P24" s="2">
        <v>4.5193042373148611</v>
      </c>
      <c r="Q24">
        <f t="shared" si="0"/>
        <v>2.6712895309216849E-10</v>
      </c>
      <c r="R24">
        <f t="shared" si="1"/>
        <v>2.1212818339500465</v>
      </c>
    </row>
    <row r="25" spans="1:18" x14ac:dyDescent="0.3">
      <c r="A25" s="7">
        <v>10.119999999999999</v>
      </c>
      <c r="B25" s="2">
        <v>4.3489576767431899E-10</v>
      </c>
      <c r="C25" s="2">
        <v>25.497318462280052</v>
      </c>
      <c r="N25" s="7">
        <v>10.01</v>
      </c>
      <c r="O25" s="2">
        <v>8.4660321724038567E-8</v>
      </c>
      <c r="P25" s="2">
        <v>4.4872615070033159</v>
      </c>
      <c r="Q25">
        <f t="shared" si="0"/>
        <v>2.6712895309216849E-10</v>
      </c>
      <c r="R25">
        <f t="shared" si="1"/>
        <v>2.1212818339500465</v>
      </c>
    </row>
    <row r="26" spans="1:18" x14ac:dyDescent="0.3">
      <c r="N26" s="2" t="s">
        <v>17</v>
      </c>
      <c r="O26" s="2">
        <v>7.3601287259264542E-9</v>
      </c>
      <c r="P26" s="2">
        <v>4.8559289264548076</v>
      </c>
    </row>
    <row r="27" spans="1:18" x14ac:dyDescent="0.3">
      <c r="N27" s="2" t="s">
        <v>18</v>
      </c>
      <c r="O27" s="2">
        <v>1.7664308942223489E-7</v>
      </c>
      <c r="P27" s="2">
        <v>116.54229423491537</v>
      </c>
    </row>
    <row r="28" spans="1:18" x14ac:dyDescent="0.3">
      <c r="N28" t="s">
        <v>40</v>
      </c>
      <c r="O28">
        <f>MEDIAN(O2:O25)</f>
        <v>2.6712895309216849E-10</v>
      </c>
      <c r="P28">
        <f>MEDIAN(P2:P25)</f>
        <v>2.1212818339500465</v>
      </c>
    </row>
  </sheetData>
  <sortState xmlns:xlrd2="http://schemas.microsoft.com/office/spreadsheetml/2017/richdata2" ref="A2:C25">
    <sortCondition ref="C2:C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8D67-BA7D-48FA-92AF-8000621A116E}">
  <dimension ref="A1:G30"/>
  <sheetViews>
    <sheetView zoomScale="83" workbookViewId="0">
      <selection activeCell="E2" sqref="E2:F27"/>
    </sheetView>
  </sheetViews>
  <sheetFormatPr defaultRowHeight="14.4" x14ac:dyDescent="0.3"/>
  <cols>
    <col min="1" max="1" width="7.5546875" style="2" bestFit="1" customWidth="1"/>
    <col min="2" max="2" width="15" style="2" bestFit="1" customWidth="1"/>
    <col min="3" max="3" width="13.33203125" style="2" bestFit="1" customWidth="1"/>
    <col min="5" max="5" width="7.5546875" style="2" bestFit="1" customWidth="1"/>
    <col min="6" max="6" width="15" style="2" bestFit="1" customWidth="1"/>
    <col min="7" max="7" width="13.33203125" style="2" bestFit="1" customWidth="1"/>
  </cols>
  <sheetData>
    <row r="1" spans="1:7" s="4" customFormat="1" x14ac:dyDescent="0.3">
      <c r="A1" s="6" t="s">
        <v>14</v>
      </c>
      <c r="B1" s="6" t="s">
        <v>15</v>
      </c>
      <c r="C1" s="6" t="s">
        <v>16</v>
      </c>
      <c r="E1" s="6" t="s">
        <v>14</v>
      </c>
      <c r="F1" s="6" t="s">
        <v>15</v>
      </c>
      <c r="G1" s="6" t="s">
        <v>16</v>
      </c>
    </row>
    <row r="2" spans="1:7" x14ac:dyDescent="0.3">
      <c r="A2" s="7">
        <v>10.09</v>
      </c>
      <c r="B2" s="2">
        <v>2.0562170417729023E-2</v>
      </c>
      <c r="C2" s="5">
        <v>2.3342747924720622E-10</v>
      </c>
      <c r="E2" s="7">
        <v>10</v>
      </c>
      <c r="F2" s="2">
        <v>2.0856817647377221E-2</v>
      </c>
      <c r="G2" s="2">
        <v>2.9674716825933229E-10</v>
      </c>
    </row>
    <row r="3" spans="1:7" x14ac:dyDescent="0.3">
      <c r="A3" s="7">
        <v>10</v>
      </c>
      <c r="B3" s="2">
        <v>2.0856817647377221E-2</v>
      </c>
      <c r="C3" s="2">
        <v>2.9674716825933229E-10</v>
      </c>
      <c r="E3" s="7">
        <v>10.01</v>
      </c>
      <c r="F3" s="2">
        <v>4.4872615070033159</v>
      </c>
      <c r="G3" s="5">
        <v>1.7357839937239472E-8</v>
      </c>
    </row>
    <row r="4" spans="1:7" x14ac:dyDescent="0.3">
      <c r="A4" s="7">
        <v>10.210000000000001</v>
      </c>
      <c r="B4" s="2">
        <v>3.2929287994076462E-2</v>
      </c>
      <c r="C4" s="5">
        <v>1.2037735876080442E-9</v>
      </c>
      <c r="E4" s="7">
        <v>10.02</v>
      </c>
      <c r="F4" s="2">
        <v>8.8192464336463949</v>
      </c>
      <c r="G4" s="5">
        <v>1.9169131769053284E-7</v>
      </c>
    </row>
    <row r="5" spans="1:7" x14ac:dyDescent="0.3">
      <c r="A5" s="7">
        <v>10.039999999999999</v>
      </c>
      <c r="B5" s="2">
        <v>3.3081978482554945E-2</v>
      </c>
      <c r="C5" s="5">
        <v>1.2693044435233263E-9</v>
      </c>
      <c r="E5" s="7">
        <v>10.029999999999999</v>
      </c>
      <c r="F5" s="2">
        <v>2.1252586018534085</v>
      </c>
      <c r="G5" s="5">
        <v>4.0462837898782125E-9</v>
      </c>
    </row>
    <row r="6" spans="1:7" x14ac:dyDescent="0.3">
      <c r="A6" s="7">
        <v>10.16</v>
      </c>
      <c r="B6" s="2">
        <v>9.5049947115816019E-2</v>
      </c>
      <c r="C6" s="5">
        <v>4.1472520178851039E-9</v>
      </c>
      <c r="E6" s="7">
        <v>10.039999999999999</v>
      </c>
      <c r="F6" s="2">
        <v>3.3081978482554945E-2</v>
      </c>
      <c r="G6" s="5">
        <v>1.2693044435233263E-9</v>
      </c>
    </row>
    <row r="7" spans="1:7" x14ac:dyDescent="0.3">
      <c r="A7" s="7">
        <v>10.23</v>
      </c>
      <c r="B7" s="2">
        <v>0.15602869518460913</v>
      </c>
      <c r="C7" s="5">
        <v>4.390371095166672E-9</v>
      </c>
      <c r="E7" s="7">
        <v>10.050000000000001</v>
      </c>
      <c r="F7" s="2">
        <v>1.3674552760421317</v>
      </c>
      <c r="G7" s="5">
        <v>2.4795532731545985E-9</v>
      </c>
    </row>
    <row r="8" spans="1:7" x14ac:dyDescent="0.3">
      <c r="A8" s="7">
        <v>10.06</v>
      </c>
      <c r="B8" s="2">
        <v>0.1839709298575761</v>
      </c>
      <c r="C8" s="5">
        <v>4.6048869261108676E-9</v>
      </c>
      <c r="E8" s="7">
        <v>10.06</v>
      </c>
      <c r="F8" s="2">
        <v>0.1839709298575761</v>
      </c>
      <c r="G8" s="5">
        <v>4.6048869261108676E-9</v>
      </c>
    </row>
    <row r="9" spans="1:7" x14ac:dyDescent="0.3">
      <c r="A9" s="7">
        <v>10.220000000000001</v>
      </c>
      <c r="B9" s="2">
        <v>0.18567770376878062</v>
      </c>
      <c r="C9" s="5">
        <v>1.0546484794766765E-8</v>
      </c>
      <c r="E9" s="7">
        <v>10.07</v>
      </c>
      <c r="F9" s="2">
        <v>0.34767526589679754</v>
      </c>
      <c r="G9" s="5">
        <v>3.2026517032439675E-8</v>
      </c>
    </row>
    <row r="10" spans="1:7" x14ac:dyDescent="0.3">
      <c r="A10" s="7">
        <v>10.07</v>
      </c>
      <c r="B10" s="2">
        <v>0.34767526589679754</v>
      </c>
      <c r="C10" s="5">
        <v>3.2026517032439675E-8</v>
      </c>
      <c r="E10" s="7">
        <v>10.08</v>
      </c>
      <c r="F10" s="2">
        <v>4.5193042373148611</v>
      </c>
      <c r="G10" s="5">
        <v>1.9643489054756554E-8</v>
      </c>
    </row>
    <row r="11" spans="1:7" x14ac:dyDescent="0.3">
      <c r="A11" s="7">
        <v>10.199999999999999</v>
      </c>
      <c r="B11" s="2">
        <v>1.3650192121558928</v>
      </c>
      <c r="C11" s="5">
        <v>2.4335441132488542E-9</v>
      </c>
      <c r="E11" s="7">
        <v>10.09</v>
      </c>
      <c r="F11" s="2">
        <v>2.0562170417729023E-2</v>
      </c>
      <c r="G11" s="5">
        <v>2.3342747924720622E-10</v>
      </c>
    </row>
    <row r="12" spans="1:7" x14ac:dyDescent="0.3">
      <c r="A12" s="7">
        <v>10.050000000000001</v>
      </c>
      <c r="B12" s="2">
        <v>1.3674552760421317</v>
      </c>
      <c r="C12" s="5">
        <v>2.4795532731545985E-9</v>
      </c>
      <c r="E12" s="7">
        <v>10.1</v>
      </c>
      <c r="F12" s="2">
        <v>2.1173050660466846</v>
      </c>
      <c r="G12" s="5">
        <v>4.0898572363616096E-9</v>
      </c>
    </row>
    <row r="13" spans="1:7" x14ac:dyDescent="0.3">
      <c r="A13" s="7">
        <v>10.1</v>
      </c>
      <c r="B13" s="2">
        <v>2.1173050660466846</v>
      </c>
      <c r="C13" s="5">
        <v>4.0898572363616096E-9</v>
      </c>
      <c r="E13" s="7">
        <v>10.11</v>
      </c>
      <c r="F13" s="2">
        <v>13.745057674265974</v>
      </c>
      <c r="G13" s="5">
        <v>1.9143691383101995E-7</v>
      </c>
    </row>
    <row r="14" spans="1:7" x14ac:dyDescent="0.3">
      <c r="A14" s="7">
        <v>10.029999999999999</v>
      </c>
      <c r="B14" s="2">
        <v>2.1252586018534085</v>
      </c>
      <c r="C14" s="5">
        <v>4.0462837898782125E-9</v>
      </c>
      <c r="E14" s="7">
        <v>10.119999999999999</v>
      </c>
      <c r="F14" s="2">
        <v>25.497318462280052</v>
      </c>
      <c r="G14" s="5">
        <v>5.8583502867509277E-6</v>
      </c>
    </row>
    <row r="15" spans="1:7" x14ac:dyDescent="0.3">
      <c r="A15" s="7">
        <v>10.15</v>
      </c>
      <c r="B15" s="2">
        <v>4.4636454982343245</v>
      </c>
      <c r="C15" s="5">
        <v>7.4959796249883063E-8</v>
      </c>
      <c r="E15" s="7">
        <v>10.130000000000001</v>
      </c>
      <c r="F15" s="2">
        <v>5.7879640939116266</v>
      </c>
      <c r="G15" s="5">
        <v>2.8414789234509429E-7</v>
      </c>
    </row>
    <row r="16" spans="1:7" x14ac:dyDescent="0.3">
      <c r="A16" s="7">
        <v>10.01</v>
      </c>
      <c r="B16" s="2">
        <v>4.4872615070033159</v>
      </c>
      <c r="C16" s="5">
        <v>1.7357839937239472E-8</v>
      </c>
      <c r="E16" s="7">
        <v>10.14</v>
      </c>
      <c r="F16" s="2">
        <v>5.0433080027479935</v>
      </c>
      <c r="G16" s="5">
        <v>6.2286660372199985E-7</v>
      </c>
    </row>
    <row r="17" spans="1:7" x14ac:dyDescent="0.3">
      <c r="A17" s="7">
        <v>10.18</v>
      </c>
      <c r="B17" s="2">
        <v>4.4960916134772786</v>
      </c>
      <c r="C17" s="2">
        <v>1.0051518114557183E-7</v>
      </c>
      <c r="E17" s="7">
        <v>10.15</v>
      </c>
      <c r="F17" s="2">
        <v>4.4636454982343245</v>
      </c>
      <c r="G17" s="5">
        <v>7.4959796249883063E-8</v>
      </c>
    </row>
    <row r="18" spans="1:7" x14ac:dyDescent="0.3">
      <c r="A18" s="7">
        <v>10.08</v>
      </c>
      <c r="B18" s="2">
        <v>4.5193042373148611</v>
      </c>
      <c r="C18" s="5">
        <v>1.9643489054756554E-8</v>
      </c>
      <c r="E18" s="7">
        <v>10.16</v>
      </c>
      <c r="F18" s="2">
        <v>9.5049947115816019E-2</v>
      </c>
      <c r="G18" s="5">
        <v>4.1472520178851039E-9</v>
      </c>
    </row>
    <row r="19" spans="1:7" x14ac:dyDescent="0.3">
      <c r="A19" s="7">
        <v>10.14</v>
      </c>
      <c r="B19" s="2">
        <v>5.0433080027479935</v>
      </c>
      <c r="C19" s="5">
        <v>6.2286660372199985E-7</v>
      </c>
      <c r="E19" s="7">
        <v>10.17</v>
      </c>
      <c r="F19" s="2">
        <v>25.278412316001731</v>
      </c>
      <c r="G19" s="5">
        <v>5.8827415100944082E-6</v>
      </c>
    </row>
    <row r="20" spans="1:7" x14ac:dyDescent="0.3">
      <c r="A20" s="7">
        <v>10.130000000000001</v>
      </c>
      <c r="B20" s="2">
        <v>5.7879640939116266</v>
      </c>
      <c r="C20" s="5">
        <v>2.8414789234509429E-7</v>
      </c>
      <c r="E20" s="7">
        <v>10.18</v>
      </c>
      <c r="F20" s="2">
        <v>4.4960916134772786</v>
      </c>
      <c r="G20" s="2">
        <v>1.0051518114557183E-7</v>
      </c>
    </row>
    <row r="21" spans="1:7" x14ac:dyDescent="0.3">
      <c r="A21" s="7">
        <v>10.19</v>
      </c>
      <c r="B21" s="2">
        <v>6.3538134435684022</v>
      </c>
      <c r="C21" s="5">
        <v>9.0926442840230788E-7</v>
      </c>
      <c r="E21" s="7">
        <v>10.19</v>
      </c>
      <c r="F21" s="2">
        <v>6.3538134435684022</v>
      </c>
      <c r="G21" s="5">
        <v>9.0926442840230788E-7</v>
      </c>
    </row>
    <row r="22" spans="1:7" x14ac:dyDescent="0.3">
      <c r="A22" s="7">
        <v>10.02</v>
      </c>
      <c r="B22" s="2">
        <v>8.8192464336463949</v>
      </c>
      <c r="C22" s="5">
        <v>1.9169131769053284E-7</v>
      </c>
      <c r="E22" s="7">
        <v>10.199999999999999</v>
      </c>
      <c r="F22" s="2">
        <v>1.3650192121558928</v>
      </c>
      <c r="G22" s="5">
        <v>2.4335441132488542E-9</v>
      </c>
    </row>
    <row r="23" spans="1:7" x14ac:dyDescent="0.3">
      <c r="A23" s="7">
        <v>10.11</v>
      </c>
      <c r="B23" s="2">
        <v>13.745057674265974</v>
      </c>
      <c r="C23" s="5">
        <v>1.9143691383101995E-7</v>
      </c>
      <c r="E23" s="7">
        <v>10.210000000000001</v>
      </c>
      <c r="F23" s="2">
        <v>3.2929287994076462E-2</v>
      </c>
      <c r="G23" s="5">
        <v>1.2037735876080442E-9</v>
      </c>
    </row>
    <row r="24" spans="1:7" x14ac:dyDescent="0.3">
      <c r="A24" s="7">
        <v>10.17</v>
      </c>
      <c r="B24" s="2">
        <v>25.278412316001731</v>
      </c>
      <c r="C24" s="5">
        <v>5.8827415100944082E-6</v>
      </c>
      <c r="E24" s="7">
        <v>10.220000000000001</v>
      </c>
      <c r="F24" s="2">
        <v>0.18567770376878062</v>
      </c>
      <c r="G24" s="5">
        <v>1.0546484794766765E-8</v>
      </c>
    </row>
    <row r="25" spans="1:7" x14ac:dyDescent="0.3">
      <c r="A25" s="7">
        <v>10.119999999999999</v>
      </c>
      <c r="B25" s="2">
        <v>25.497318462280052</v>
      </c>
      <c r="C25" s="5">
        <v>5.8583502867509277E-6</v>
      </c>
      <c r="E25" s="7">
        <v>10.23</v>
      </c>
      <c r="F25" s="2">
        <v>0.15602869518460913</v>
      </c>
      <c r="G25" s="5">
        <v>4.390371095166672E-9</v>
      </c>
    </row>
    <row r="26" spans="1:7" x14ac:dyDescent="0.3">
      <c r="A26" s="2" t="s">
        <v>17</v>
      </c>
      <c r="B26" s="2">
        <f>AVERAGE(B2:B25)</f>
        <v>4.8559289264548076</v>
      </c>
      <c r="E26" s="2" t="s">
        <v>17</v>
      </c>
      <c r="F26" s="2">
        <f>AVERAGE(F2:F25)</f>
        <v>4.8559289264548067</v>
      </c>
    </row>
    <row r="27" spans="1:7" x14ac:dyDescent="0.3">
      <c r="A27" s="2" t="s">
        <v>18</v>
      </c>
      <c r="B27" s="2">
        <f>SUM(B2:B25)</f>
        <v>116.54229423491539</v>
      </c>
      <c r="E27" s="2" t="s">
        <v>18</v>
      </c>
      <c r="F27" s="2">
        <f>SUM(F2:F25)</f>
        <v>116.54229423491536</v>
      </c>
    </row>
    <row r="29" spans="1:7" x14ac:dyDescent="0.3">
      <c r="A29" s="2" t="s">
        <v>17</v>
      </c>
      <c r="B29" s="2">
        <v>4.8559289264548076</v>
      </c>
    </row>
    <row r="30" spans="1:7" x14ac:dyDescent="0.3">
      <c r="A30" s="2" t="s">
        <v>18</v>
      </c>
      <c r="B30" s="2">
        <v>116.54229423491539</v>
      </c>
    </row>
  </sheetData>
  <sortState xmlns:xlrd2="http://schemas.microsoft.com/office/spreadsheetml/2017/richdata2" ref="A2:C25">
    <sortCondition ref="B2:B25"/>
  </sortState>
  <printOptions gridLines="1"/>
  <pageMargins left="0.7" right="0.7" top="0.75" bottom="0.75" header="0.3" footer="0.3"/>
  <pageSetup orientation="portrait" r:id="rId1"/>
  <headerFooter>
    <oddHeader>&amp;A</oddHeader>
    <oddFooter>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7CF0-99B2-4337-A953-1577F71FE002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4.390371095166672E-9</v>
      </c>
      <c r="D3" s="1" t="s">
        <v>9</v>
      </c>
      <c r="E3" s="1">
        <v>0</v>
      </c>
      <c r="F3" s="1">
        <v>-1.0298817200315558</v>
      </c>
      <c r="G3" s="1">
        <v>-1.9202820261691365</v>
      </c>
    </row>
    <row r="4" spans="1:7" ht="15.6" x14ac:dyDescent="0.3">
      <c r="A4" s="1" t="s">
        <v>3</v>
      </c>
      <c r="B4" s="1">
        <v>1.3843526910407955</v>
      </c>
      <c r="D4" s="1" t="s">
        <v>10</v>
      </c>
      <c r="E4" s="1">
        <v>0.62174458515344622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0</v>
      </c>
      <c r="D5" s="1" t="s">
        <v>11</v>
      </c>
      <c r="E5" s="1">
        <v>2.0755226044315749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15966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1.7366735668792786E-11</v>
      </c>
      <c r="D9" s="5" t="s">
        <v>9</v>
      </c>
      <c r="E9" s="5">
        <v>0</v>
      </c>
      <c r="F9" s="5">
        <v>-1</v>
      </c>
      <c r="G9" s="5">
        <v>-2</v>
      </c>
    </row>
    <row r="10" spans="1:7" ht="15.6" x14ac:dyDescent="0.3">
      <c r="A10" s="1" t="s">
        <v>10</v>
      </c>
      <c r="B10" s="1">
        <v>1.1523788231722313E-8</v>
      </c>
      <c r="D10" s="5" t="s">
        <v>10</v>
      </c>
      <c r="E10" s="5">
        <v>1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1.6299583181089092E-9</v>
      </c>
      <c r="D11" s="5" t="s">
        <v>11</v>
      </c>
      <c r="E11" s="5">
        <v>2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8.9291719204428067E-4</v>
      </c>
      <c r="G13">
        <f t="shared" si="0"/>
        <v>6.3549553516982441E-3</v>
      </c>
    </row>
    <row r="14" spans="1:7" x14ac:dyDescent="0.3">
      <c r="E14">
        <f t="shared" ref="E14:G15" si="1">(E10-E4)^2</f>
        <v>0.14307715886073849</v>
      </c>
      <c r="F14">
        <f t="shared" si="1"/>
        <v>0</v>
      </c>
      <c r="G14">
        <f t="shared" si="1"/>
        <v>0</v>
      </c>
    </row>
    <row r="15" spans="1:7" x14ac:dyDescent="0.3">
      <c r="E15">
        <f>(E11-E5)^2</f>
        <v>5.7036637801281334E-3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0.15602869518460913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9BC1C-C5EA-49A9-99C3-DFC372691FF0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1.0546484794766765E-8</v>
      </c>
      <c r="D3" s="1" t="s">
        <v>9</v>
      </c>
      <c r="E3" s="1">
        <v>0</v>
      </c>
      <c r="F3" s="1">
        <v>-1.7650213223289613</v>
      </c>
      <c r="G3" s="1">
        <v>1.0591959590926951</v>
      </c>
    </row>
    <row r="4" spans="1:7" ht="15.6" x14ac:dyDescent="0.3">
      <c r="A4" s="1" t="s">
        <v>3</v>
      </c>
      <c r="B4" s="1">
        <v>1.2931544418692078</v>
      </c>
      <c r="D4" s="1" t="s">
        <v>10</v>
      </c>
      <c r="E4" s="1">
        <v>1.8060003847963768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9.8765638173704394E-35</v>
      </c>
      <c r="D5" s="1" t="s">
        <v>11</v>
      </c>
      <c r="E5" s="1">
        <v>-0.70113094416334631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24074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5.1063370210255823E-9</v>
      </c>
      <c r="D9" s="5" t="s">
        <v>9</v>
      </c>
      <c r="E9" s="5">
        <v>0</v>
      </c>
      <c r="F9" s="5">
        <v>-2</v>
      </c>
      <c r="G9" s="5">
        <v>1</v>
      </c>
    </row>
    <row r="10" spans="1:7" ht="15.6" x14ac:dyDescent="0.3">
      <c r="A10" s="1" t="s">
        <v>10</v>
      </c>
      <c r="B10" s="1">
        <v>8.9011753468227499E-9</v>
      </c>
      <c r="D10" s="5" t="s">
        <v>10</v>
      </c>
      <c r="E10" s="5">
        <v>2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1.7631942016451964E-8</v>
      </c>
      <c r="D11" s="5" t="s">
        <v>11</v>
      </c>
      <c r="E11" s="5">
        <v>-1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5.5214978960029922E-2</v>
      </c>
      <c r="G13">
        <f t="shared" si="0"/>
        <v>3.5041615729040376E-3</v>
      </c>
    </row>
    <row r="14" spans="1:7" x14ac:dyDescent="0.3">
      <c r="E14">
        <f t="shared" ref="E14:G15" si="1">(E10-E4)^2</f>
        <v>3.7635850699153865E-2</v>
      </c>
      <c r="F14">
        <f t="shared" si="1"/>
        <v>0</v>
      </c>
      <c r="G14">
        <f t="shared" si="1"/>
        <v>0</v>
      </c>
    </row>
    <row r="15" spans="1:7" x14ac:dyDescent="0.3">
      <c r="E15">
        <f>(E11-E5)^2</f>
        <v>8.9322712536692814E-2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0.18567770376878062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83BB-D4F2-401B-BF0B-10D69BB3D6FD}">
  <dimension ref="A1:K17"/>
  <sheetViews>
    <sheetView workbookViewId="0">
      <selection activeCell="N20" sqref="N20"/>
    </sheetView>
  </sheetViews>
  <sheetFormatPr defaultRowHeight="14.4" x14ac:dyDescent="0.3"/>
  <sheetData>
    <row r="1" spans="1:11" ht="15.6" x14ac:dyDescent="0.3">
      <c r="A1" s="3" t="s">
        <v>13</v>
      </c>
    </row>
    <row r="2" spans="1:11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11" ht="15.6" x14ac:dyDescent="0.3">
      <c r="A3" s="1" t="s">
        <v>2</v>
      </c>
      <c r="B3" s="1">
        <v>1.2037735876080442E-9</v>
      </c>
      <c r="D3" s="1" t="s">
        <v>9</v>
      </c>
      <c r="E3" s="1">
        <v>0</v>
      </c>
      <c r="F3" s="1">
        <v>0.98081125225190136</v>
      </c>
      <c r="G3" s="1">
        <v>1.9486016994518527</v>
      </c>
    </row>
    <row r="4" spans="1:11" ht="15.6" x14ac:dyDescent="0.3">
      <c r="A4" s="1" t="s">
        <v>3</v>
      </c>
      <c r="B4" s="1">
        <v>1.6069647685790032</v>
      </c>
      <c r="D4" s="1" t="s">
        <v>10</v>
      </c>
      <c r="E4" s="1">
        <v>-0.85221115870957798</v>
      </c>
      <c r="F4" s="1">
        <v>0</v>
      </c>
      <c r="G4" s="1">
        <v>0</v>
      </c>
    </row>
    <row r="5" spans="1:11" ht="15.6" x14ac:dyDescent="0.3">
      <c r="A5" s="1" t="s">
        <v>4</v>
      </c>
      <c r="B5" s="1">
        <v>0</v>
      </c>
      <c r="D5" s="1" t="s">
        <v>11</v>
      </c>
      <c r="E5" s="1">
        <v>-1.9101236791766982</v>
      </c>
      <c r="F5" s="1">
        <v>0</v>
      </c>
      <c r="G5" s="1">
        <v>0</v>
      </c>
    </row>
    <row r="6" spans="1:11" ht="15.6" x14ac:dyDescent="0.3">
      <c r="A6" s="1" t="s">
        <v>5</v>
      </c>
      <c r="B6" s="1">
        <v>18693</v>
      </c>
    </row>
    <row r="7" spans="1:11" ht="15.6" x14ac:dyDescent="0.3">
      <c r="A7" s="1" t="s">
        <v>6</v>
      </c>
      <c r="B7" s="1"/>
    </row>
    <row r="8" spans="1:11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11" ht="15.6" x14ac:dyDescent="0.3">
      <c r="A9" s="1" t="s">
        <v>9</v>
      </c>
      <c r="B9" s="1">
        <v>3.7173961716053303E-11</v>
      </c>
      <c r="D9" s="5" t="s">
        <v>9</v>
      </c>
      <c r="E9" s="5">
        <v>0</v>
      </c>
      <c r="F9" s="5">
        <v>1</v>
      </c>
      <c r="G9" s="5">
        <v>2</v>
      </c>
      <c r="I9" s="5"/>
      <c r="J9" s="5"/>
      <c r="K9" s="5"/>
    </row>
    <row r="10" spans="1:11" ht="15.6" x14ac:dyDescent="0.3">
      <c r="A10" s="1" t="s">
        <v>10</v>
      </c>
      <c r="B10" s="1">
        <v>2.9869086205276937E-9</v>
      </c>
      <c r="D10" s="5" t="s">
        <v>10</v>
      </c>
      <c r="E10" s="5">
        <v>-1</v>
      </c>
      <c r="F10" s="5">
        <v>0</v>
      </c>
      <c r="G10" s="5">
        <v>0</v>
      </c>
      <c r="I10" s="5"/>
      <c r="J10" s="5"/>
      <c r="K10" s="5"/>
    </row>
    <row r="11" spans="1:11" ht="15.6" x14ac:dyDescent="0.3">
      <c r="A11" s="1" t="s">
        <v>11</v>
      </c>
      <c r="B11" s="1">
        <v>5.8723818058038548E-10</v>
      </c>
      <c r="D11" s="5" t="s">
        <v>11</v>
      </c>
      <c r="E11" s="5">
        <v>-2</v>
      </c>
      <c r="F11" s="5">
        <v>0</v>
      </c>
      <c r="G11" s="5">
        <v>0</v>
      </c>
      <c r="I11" s="5"/>
      <c r="J11" s="5"/>
      <c r="K11" s="5"/>
    </row>
    <row r="13" spans="1:11" x14ac:dyDescent="0.3">
      <c r="E13">
        <f>(E9-E3)^2</f>
        <v>0</v>
      </c>
      <c r="F13">
        <f t="shared" ref="F13:G13" si="0">(F9-F3)^2</f>
        <v>3.682080401401608E-4</v>
      </c>
      <c r="G13">
        <f t="shared" si="0"/>
        <v>2.6417852992376804E-3</v>
      </c>
    </row>
    <row r="14" spans="1:11" x14ac:dyDescent="0.3">
      <c r="E14">
        <f t="shared" ref="E14:G15" si="1">(E10-E4)^2</f>
        <v>2.1841541609965549E-2</v>
      </c>
      <c r="F14">
        <f t="shared" si="1"/>
        <v>0</v>
      </c>
      <c r="G14">
        <f t="shared" si="1"/>
        <v>0</v>
      </c>
    </row>
    <row r="15" spans="1:11" x14ac:dyDescent="0.3">
      <c r="E15">
        <f>(E11-E5)^2</f>
        <v>8.077753044733068E-3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3.2929287994076462E-2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4390-3995-460B-ABEF-C18D95517F47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2.4335441132488542E-9</v>
      </c>
      <c r="D3" s="1" t="s">
        <v>9</v>
      </c>
      <c r="E3" s="1">
        <v>0</v>
      </c>
      <c r="F3" s="1">
        <v>1.0606174530178385</v>
      </c>
      <c r="G3" s="1">
        <v>-1.042487786999136</v>
      </c>
    </row>
    <row r="4" spans="1:7" ht="15.6" x14ac:dyDescent="0.3">
      <c r="A4" s="1" t="s">
        <v>3</v>
      </c>
      <c r="B4" s="1">
        <v>1.866820324429904</v>
      </c>
      <c r="D4" s="1" t="s">
        <v>10</v>
      </c>
      <c r="E4" s="1">
        <v>-1.6665092592288413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0</v>
      </c>
      <c r="D5" s="1" t="s">
        <v>11</v>
      </c>
      <c r="E5" s="1">
        <v>0.39208688420381982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14144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4.6883729083533439E-9</v>
      </c>
      <c r="D9" s="5" t="s">
        <v>9</v>
      </c>
      <c r="E9" s="5">
        <v>0</v>
      </c>
      <c r="F9" s="5">
        <v>2</v>
      </c>
      <c r="G9" s="5">
        <v>-1</v>
      </c>
    </row>
    <row r="10" spans="1:7" ht="15.6" x14ac:dyDescent="0.3">
      <c r="A10" s="1" t="s">
        <v>10</v>
      </c>
      <c r="B10" s="1">
        <v>5.3526463891777692E-10</v>
      </c>
      <c r="D10" s="5" t="s">
        <v>10</v>
      </c>
      <c r="E10" s="5">
        <v>-2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2.0769947924754417E-9</v>
      </c>
      <c r="D11" s="5" t="s">
        <v>11</v>
      </c>
      <c r="E11" s="5">
        <v>1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0.88243956957469283</v>
      </c>
      <c r="G13">
        <f t="shared" si="0"/>
        <v>1.805212044083952E-3</v>
      </c>
    </row>
    <row r="14" spans="1:7" x14ac:dyDescent="0.3">
      <c r="E14">
        <f t="shared" ref="E14:G15" si="1">(E10-E4)^2</f>
        <v>0.11121607418009617</v>
      </c>
      <c r="F14">
        <f t="shared" si="1"/>
        <v>0</v>
      </c>
      <c r="G14">
        <f t="shared" si="1"/>
        <v>0</v>
      </c>
    </row>
    <row r="15" spans="1:7" x14ac:dyDescent="0.3">
      <c r="E15">
        <f>(E11-E5)^2</f>
        <v>0.36955835635701989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1.3650192121558928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E05B-3793-41C3-B94B-40F5229BD806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9.0926442840230788E-7</v>
      </c>
      <c r="D3" s="1" t="s">
        <v>9</v>
      </c>
      <c r="E3" s="1">
        <v>0</v>
      </c>
      <c r="F3" s="1">
        <v>-2.065080719895541</v>
      </c>
      <c r="G3" s="1">
        <v>-0.2876852495443511</v>
      </c>
    </row>
    <row r="4" spans="1:7" ht="15.6" x14ac:dyDescent="0.3">
      <c r="A4" s="1" t="s">
        <v>3</v>
      </c>
      <c r="B4" s="1">
        <v>4.0933759647769064</v>
      </c>
      <c r="D4" s="1" t="s">
        <v>10</v>
      </c>
      <c r="E4" s="1">
        <v>-1.9201660047975062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1.5802502107792703E-33</v>
      </c>
      <c r="D5" s="1" t="s">
        <v>11</v>
      </c>
      <c r="E5" s="1">
        <v>0.1145531736505777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10117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3.0703446014898327E-8</v>
      </c>
      <c r="D9" s="5" t="s">
        <v>9</v>
      </c>
      <c r="E9" s="5">
        <v>0</v>
      </c>
      <c r="F9" s="5">
        <v>-1</v>
      </c>
      <c r="G9" s="5">
        <v>1</v>
      </c>
    </row>
    <row r="10" spans="1:7" ht="15.6" x14ac:dyDescent="0.3">
      <c r="A10" s="1" t="s">
        <v>10</v>
      </c>
      <c r="B10" s="1">
        <v>1.7699138613293824E-8</v>
      </c>
      <c r="D10" s="5" t="s">
        <v>10</v>
      </c>
      <c r="E10" s="5">
        <v>-2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2.6793907005787317E-6</v>
      </c>
      <c r="D11" s="5" t="s">
        <v>11</v>
      </c>
      <c r="E11" s="5">
        <v>2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1.1343969398932039</v>
      </c>
      <c r="G13">
        <f t="shared" si="0"/>
        <v>1.6581333018940978</v>
      </c>
    </row>
    <row r="14" spans="1:7" x14ac:dyDescent="0.3">
      <c r="E14">
        <f t="shared" ref="E14:G15" si="1">(E10-E4)^2</f>
        <v>6.3734667899918015E-3</v>
      </c>
      <c r="F14">
        <f t="shared" si="1"/>
        <v>0</v>
      </c>
      <c r="G14">
        <f t="shared" si="1"/>
        <v>0</v>
      </c>
    </row>
    <row r="15" spans="1:7" x14ac:dyDescent="0.3">
      <c r="E15">
        <f>(E11-E5)^2</f>
        <v>3.5549097349911092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6.3538134435684022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F64C-47D1-4ACB-8BCD-8DB8DA890DE2}">
  <dimension ref="A1:G21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1.0051518114557183E-7</v>
      </c>
      <c r="D3" s="1" t="s">
        <v>9</v>
      </c>
      <c r="E3" s="1">
        <v>0</v>
      </c>
      <c r="F3" s="1">
        <v>1.1023069038191944</v>
      </c>
      <c r="G3" s="1">
        <v>8.4662291854002314E-2</v>
      </c>
    </row>
    <row r="4" spans="1:7" ht="15.6" x14ac:dyDescent="0.3">
      <c r="A4" s="1" t="s">
        <v>3</v>
      </c>
      <c r="B4" s="1">
        <v>6.3411021073292968</v>
      </c>
      <c r="D4" s="1" t="s">
        <v>10</v>
      </c>
      <c r="E4" s="1">
        <v>2.3139558304471706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1.5802502107792703E-33</v>
      </c>
      <c r="D5" s="1" t="s">
        <v>11</v>
      </c>
      <c r="E5" s="1">
        <v>-0.7969242103094123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10884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1.1822273062140541E-7</v>
      </c>
      <c r="D9" s="5" t="s">
        <v>9</v>
      </c>
      <c r="E9" s="5">
        <v>0</v>
      </c>
      <c r="F9" s="5">
        <v>1</v>
      </c>
      <c r="G9" s="5">
        <v>-2</v>
      </c>
    </row>
    <row r="10" spans="1:7" ht="15.6" x14ac:dyDescent="0.3">
      <c r="A10" s="1" t="s">
        <v>10</v>
      </c>
      <c r="B10" s="1">
        <v>6.0548884220951864E-8</v>
      </c>
      <c r="D10" s="5" t="s">
        <v>10</v>
      </c>
      <c r="E10" s="5">
        <v>2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1.2277392859435819E-7</v>
      </c>
      <c r="D11" s="5" t="s">
        <v>11</v>
      </c>
      <c r="E11" s="5">
        <v>-1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1.046670256906989E-2</v>
      </c>
      <c r="G13">
        <f t="shared" si="0"/>
        <v>4.3458168710779805</v>
      </c>
    </row>
    <row r="14" spans="1:7" x14ac:dyDescent="0.3">
      <c r="E14">
        <f t="shared" ref="E14:G15" si="1">(E10-E4)^2</f>
        <v>9.8568263471772513E-2</v>
      </c>
      <c r="F14">
        <f t="shared" si="1"/>
        <v>0</v>
      </c>
      <c r="G14">
        <f t="shared" si="1"/>
        <v>0</v>
      </c>
    </row>
    <row r="15" spans="1:7" x14ac:dyDescent="0.3">
      <c r="E15">
        <f>(E11-E5)^2</f>
        <v>4.1239776358455806E-2</v>
      </c>
      <c r="F15">
        <f t="shared" si="1"/>
        <v>0</v>
      </c>
      <c r="G15">
        <f t="shared" si="1"/>
        <v>0</v>
      </c>
    </row>
    <row r="17" spans="4:5" x14ac:dyDescent="0.3">
      <c r="E17" s="4">
        <f>SUM(E13:G15)</f>
        <v>4.4960916134772786</v>
      </c>
    </row>
    <row r="20" spans="4:5" x14ac:dyDescent="0.3">
      <c r="D20" s="8">
        <v>45843</v>
      </c>
      <c r="E20" t="s">
        <v>21</v>
      </c>
    </row>
    <row r="21" spans="4:5" x14ac:dyDescent="0.3">
      <c r="D21" s="8">
        <v>45845</v>
      </c>
      <c r="E21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1A42-0714-4274-9CCE-FD3E5D511EAB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5.8827415100944082E-6</v>
      </c>
      <c r="D3" s="1" t="s">
        <v>9</v>
      </c>
      <c r="E3" s="1">
        <v>0</v>
      </c>
      <c r="F3" s="1">
        <v>-3.2954543826735909</v>
      </c>
      <c r="G3" s="1">
        <v>-2.7927701451883067</v>
      </c>
    </row>
    <row r="4" spans="1:7" ht="15.6" x14ac:dyDescent="0.3">
      <c r="A4" s="1" t="s">
        <v>3</v>
      </c>
      <c r="B4" s="1">
        <v>10.179791564029145</v>
      </c>
      <c r="D4" s="1" t="s">
        <v>10</v>
      </c>
      <c r="E4" s="1">
        <v>-0.90684505711771213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0</v>
      </c>
      <c r="D5" s="1" t="s">
        <v>11</v>
      </c>
      <c r="E5" s="1">
        <v>0.21203632671183925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6185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7.2539384695411251E-6</v>
      </c>
      <c r="D9" s="5" t="s">
        <v>9</v>
      </c>
      <c r="E9" s="5">
        <v>0</v>
      </c>
      <c r="F9" s="5">
        <v>-2</v>
      </c>
      <c r="G9" s="5">
        <v>2</v>
      </c>
    </row>
    <row r="10" spans="1:7" ht="15.6" x14ac:dyDescent="0.3">
      <c r="A10" s="1" t="s">
        <v>10</v>
      </c>
      <c r="B10" s="1">
        <v>3.0846581064536397E-6</v>
      </c>
      <c r="D10" s="5" t="s">
        <v>10</v>
      </c>
      <c r="E10" s="5">
        <v>-1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7.3096279542884594E-6</v>
      </c>
      <c r="D11" s="5" t="s">
        <v>11</v>
      </c>
      <c r="E11" s="5">
        <v>1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1.6782020575882146</v>
      </c>
      <c r="G13">
        <f t="shared" si="0"/>
        <v>22.970645664608341</v>
      </c>
    </row>
    <row r="14" spans="1:7" x14ac:dyDescent="0.3">
      <c r="E14">
        <f t="shared" ref="E14:G15" si="1">(E10-E4)^2</f>
        <v>8.6778433834023162E-3</v>
      </c>
      <c r="F14">
        <f t="shared" si="1"/>
        <v>0</v>
      </c>
      <c r="G14">
        <f t="shared" si="1"/>
        <v>0</v>
      </c>
    </row>
    <row r="15" spans="1:7" x14ac:dyDescent="0.3">
      <c r="E15">
        <f>(E11-E5)^2</f>
        <v>0.62088675042177133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25.278412316001731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6CCE-E37A-4B9D-B598-F019BFB3039F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4.1472520178851039E-9</v>
      </c>
      <c r="D3" s="1" t="s">
        <v>9</v>
      </c>
      <c r="E3" s="1">
        <v>0</v>
      </c>
      <c r="F3" s="1">
        <v>1.818883253388925</v>
      </c>
      <c r="G3" s="1">
        <v>-1.2310053507267229</v>
      </c>
    </row>
    <row r="4" spans="1:7" ht="15.6" x14ac:dyDescent="0.3">
      <c r="A4" s="1" t="s">
        <v>3</v>
      </c>
      <c r="B4" s="1">
        <v>1.0549136707335545</v>
      </c>
      <c r="D4" s="1" t="s">
        <v>10</v>
      </c>
      <c r="E4" s="1">
        <v>0.91652483455232459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0</v>
      </c>
      <c r="D5" s="1" t="s">
        <v>11</v>
      </c>
      <c r="E5" s="1">
        <v>-2.0437618087142502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21809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1.1266894875433195E-8</v>
      </c>
      <c r="D9" s="5" t="s">
        <v>9</v>
      </c>
      <c r="E9" s="5">
        <v>0</v>
      </c>
      <c r="F9" s="5">
        <v>2</v>
      </c>
      <c r="G9" s="5">
        <v>-1</v>
      </c>
    </row>
    <row r="10" spans="1:7" ht="15.6" x14ac:dyDescent="0.3">
      <c r="A10" s="1" t="s">
        <v>10</v>
      </c>
      <c r="B10" s="1">
        <v>6.8728832807481717E-10</v>
      </c>
      <c r="D10" s="5" t="s">
        <v>10</v>
      </c>
      <c r="E10" s="5">
        <v>1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4.8757285014730275E-10</v>
      </c>
      <c r="D11" s="5" t="s">
        <v>11</v>
      </c>
      <c r="E11" s="5">
        <v>-2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3.2803275902980357E-2</v>
      </c>
      <c r="G13">
        <f t="shared" si="0"/>
        <v>5.3363472064376256E-2</v>
      </c>
    </row>
    <row r="14" spans="1:7" x14ac:dyDescent="0.3">
      <c r="E14">
        <f t="shared" ref="E14:G15" si="1">(E10-E4)^2</f>
        <v>6.9681032465167833E-3</v>
      </c>
      <c r="F14">
        <f t="shared" si="1"/>
        <v>0</v>
      </c>
      <c r="G14">
        <f t="shared" si="1"/>
        <v>0</v>
      </c>
    </row>
    <row r="15" spans="1:7" x14ac:dyDescent="0.3">
      <c r="E15">
        <f>(E11-E5)^2</f>
        <v>1.9150959019426223E-3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9.5049947115816019E-2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5C64-E794-4FBF-9071-AD2A44D1D0A5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7.4959796249883063E-8</v>
      </c>
      <c r="D3" s="1" t="s">
        <v>9</v>
      </c>
      <c r="E3" s="1">
        <v>0</v>
      </c>
      <c r="F3" s="1">
        <v>7.8904167155999363E-2</v>
      </c>
      <c r="G3" s="1">
        <v>1.1214378764393682</v>
      </c>
    </row>
    <row r="4" spans="1:7" ht="15.6" x14ac:dyDescent="0.3">
      <c r="A4" s="1" t="s">
        <v>3</v>
      </c>
      <c r="B4" s="1">
        <v>4.0013606189066211</v>
      </c>
      <c r="D4" s="1" t="s">
        <v>10</v>
      </c>
      <c r="E4" s="1">
        <v>-0.80834658067777587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1.5802502107792703E-33</v>
      </c>
      <c r="D5" s="1" t="s">
        <v>11</v>
      </c>
      <c r="E5" s="1">
        <v>2.3005407976360992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22988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8.3652534122070185E-8</v>
      </c>
      <c r="D9" s="5" t="s">
        <v>9</v>
      </c>
      <c r="E9" s="5">
        <v>0</v>
      </c>
      <c r="F9" s="5">
        <v>-2</v>
      </c>
      <c r="G9" s="5">
        <v>1</v>
      </c>
    </row>
    <row r="10" spans="1:7" ht="15.6" x14ac:dyDescent="0.3">
      <c r="A10" s="1" t="s">
        <v>10</v>
      </c>
      <c r="B10" s="1">
        <v>8.6878442706918988E-8</v>
      </c>
      <c r="D10" s="5" t="s">
        <v>10</v>
      </c>
      <c r="E10" s="5">
        <v>-1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5.4348411920660035E-8</v>
      </c>
      <c r="D11" s="5" t="s">
        <v>11</v>
      </c>
      <c r="E11" s="5">
        <v>2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4.3218425362185791</v>
      </c>
      <c r="G13">
        <f t="shared" si="0"/>
        <v>1.4747157834103261E-2</v>
      </c>
    </row>
    <row r="14" spans="1:7" x14ac:dyDescent="0.3">
      <c r="E14">
        <f t="shared" ref="E14:G15" si="1">(E10-E4)^2</f>
        <v>3.6731033137900271E-2</v>
      </c>
      <c r="F14">
        <f t="shared" si="1"/>
        <v>0</v>
      </c>
      <c r="G14">
        <f t="shared" si="1"/>
        <v>0</v>
      </c>
    </row>
    <row r="15" spans="1:7" x14ac:dyDescent="0.3">
      <c r="E15">
        <f>(E11-E5)^2</f>
        <v>9.032477104374273E-2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4.4636454982343245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7B9F-6434-4685-B5EC-1BE86917077B}">
  <dimension ref="A1:G20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6.2286660372199985E-7</v>
      </c>
      <c r="D3" s="1" t="s">
        <v>9</v>
      </c>
      <c r="E3" s="1">
        <v>0</v>
      </c>
      <c r="F3" s="1">
        <v>2.1678313247795389</v>
      </c>
      <c r="G3" s="1">
        <v>-0.4706277037418416</v>
      </c>
    </row>
    <row r="4" spans="1:7" ht="15.6" x14ac:dyDescent="0.3">
      <c r="A4" s="1" t="s">
        <v>3</v>
      </c>
      <c r="B4" s="1">
        <v>1.6064363231017311</v>
      </c>
      <c r="D4" s="1" t="s">
        <v>10</v>
      </c>
      <c r="E4" s="1">
        <v>0.1650197383342753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1.5802502107792703E-33</v>
      </c>
      <c r="D5" s="1" t="s">
        <v>11</v>
      </c>
      <c r="E5" s="1">
        <v>-2.1791379660016648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38821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1.146913927986456E-7</v>
      </c>
      <c r="D9" s="5" t="s">
        <v>9</v>
      </c>
      <c r="E9" s="5">
        <v>0</v>
      </c>
      <c r="F9" s="5">
        <v>1</v>
      </c>
      <c r="G9" s="5">
        <v>-1</v>
      </c>
    </row>
    <row r="10" spans="1:7" ht="15.6" x14ac:dyDescent="0.3">
      <c r="A10" s="1" t="s">
        <v>10</v>
      </c>
      <c r="B10" s="1">
        <v>1.7538485507526552E-6</v>
      </c>
      <c r="D10" s="5" t="s">
        <v>10</v>
      </c>
      <c r="E10" s="5">
        <v>2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5.9867614698524328E-11</v>
      </c>
      <c r="D11" s="5" t="s">
        <v>11</v>
      </c>
      <c r="E11" s="5">
        <v>-2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1.3638300031363328</v>
      </c>
      <c r="G13">
        <f t="shared" si="0"/>
        <v>0.28023502804563544</v>
      </c>
    </row>
    <row r="14" spans="1:7" x14ac:dyDescent="0.3">
      <c r="E14">
        <f t="shared" ref="E14:G15" si="1">(E10-E4)^2</f>
        <v>3.3671525607028117</v>
      </c>
      <c r="F14">
        <f t="shared" si="1"/>
        <v>0</v>
      </c>
      <c r="G14">
        <f t="shared" si="1"/>
        <v>0</v>
      </c>
    </row>
    <row r="15" spans="1:7" x14ac:dyDescent="0.3">
      <c r="E15">
        <f>(E11-E5)^2</f>
        <v>3.2090410863213598E-2</v>
      </c>
      <c r="F15">
        <f t="shared" si="1"/>
        <v>0</v>
      </c>
      <c r="G15">
        <f t="shared" si="1"/>
        <v>0</v>
      </c>
    </row>
    <row r="17" spans="4:5" x14ac:dyDescent="0.3">
      <c r="E17" s="4">
        <f>SUM(E13:G15)</f>
        <v>5.0433080027479935</v>
      </c>
    </row>
    <row r="19" spans="4:5" x14ac:dyDescent="0.3">
      <c r="D19" s="8">
        <v>45843</v>
      </c>
      <c r="E19" t="s">
        <v>20</v>
      </c>
    </row>
    <row r="20" spans="4:5" x14ac:dyDescent="0.3">
      <c r="D20" s="8">
        <v>45845</v>
      </c>
      <c r="E20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5C32-351D-49BE-93C9-576C97468297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2.8414789234509429E-7</v>
      </c>
      <c r="D3" s="1" t="s">
        <v>9</v>
      </c>
      <c r="E3" s="1">
        <v>0</v>
      </c>
      <c r="F3" s="1">
        <v>-0.36332565085321</v>
      </c>
      <c r="G3" s="1">
        <v>-0.16755619338174418</v>
      </c>
    </row>
    <row r="4" spans="1:7" ht="15.6" x14ac:dyDescent="0.3">
      <c r="A4" s="1" t="s">
        <v>3</v>
      </c>
      <c r="B4" s="1">
        <v>3.7196605726754526</v>
      </c>
      <c r="D4" s="1" t="s">
        <v>10</v>
      </c>
      <c r="E4" s="1">
        <v>-1.9859624870825001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0</v>
      </c>
      <c r="D5" s="1" t="s">
        <v>11</v>
      </c>
      <c r="E5" s="1">
        <v>0.17288878389078077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11191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1.749836856690475E-7</v>
      </c>
      <c r="D9" s="5" t="s">
        <v>9</v>
      </c>
      <c r="E9" s="5">
        <v>0</v>
      </c>
      <c r="F9" s="5">
        <v>-1</v>
      </c>
      <c r="G9" s="5">
        <v>2</v>
      </c>
    </row>
    <row r="10" spans="1:7" ht="15.6" x14ac:dyDescent="0.3">
      <c r="A10" s="1" t="s">
        <v>10</v>
      </c>
      <c r="B10" s="1">
        <v>2.1977711846939967E-9</v>
      </c>
      <c r="D10" s="5" t="s">
        <v>10</v>
      </c>
      <c r="E10" s="5">
        <v>-2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6.7526222018154137E-7</v>
      </c>
      <c r="D11" s="5" t="s">
        <v>11</v>
      </c>
      <c r="E11" s="5">
        <v>1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0.40535422686148864</v>
      </c>
      <c r="G13">
        <f t="shared" si="0"/>
        <v>4.6982998514675574</v>
      </c>
    </row>
    <row r="14" spans="1:7" x14ac:dyDescent="0.3">
      <c r="E14">
        <f t="shared" ref="E14:G15" si="1">(E10-E4)^2</f>
        <v>1.970517689089761E-4</v>
      </c>
      <c r="F14">
        <f t="shared" si="1"/>
        <v>0</v>
      </c>
      <c r="G14">
        <f t="shared" si="1"/>
        <v>0</v>
      </c>
    </row>
    <row r="15" spans="1:7" x14ac:dyDescent="0.3">
      <c r="E15">
        <f t="shared" si="1"/>
        <v>0.68411296381367159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5.7879640939116266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0B3D-B400-4975-8CA7-B989EBF30B53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5.8583502867509277E-6</v>
      </c>
      <c r="D3" s="1" t="s">
        <v>9</v>
      </c>
      <c r="E3" s="1">
        <v>0</v>
      </c>
      <c r="F3" s="1">
        <v>-2.8120889188164675</v>
      </c>
      <c r="G3" s="1">
        <v>-3.3136052021000753</v>
      </c>
    </row>
    <row r="4" spans="1:7" ht="15.6" x14ac:dyDescent="0.3">
      <c r="A4" s="1" t="s">
        <v>3</v>
      </c>
      <c r="B4" s="1">
        <v>8.7608128396777456</v>
      </c>
      <c r="D4" s="1" t="s">
        <v>10</v>
      </c>
      <c r="E4" s="1">
        <v>0.22083107546759423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0</v>
      </c>
      <c r="D5" s="1" t="s">
        <v>11</v>
      </c>
      <c r="E5" s="1">
        <v>-0.90804425117238718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10405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7.2895762130809929E-6</v>
      </c>
      <c r="D9" s="5" t="s">
        <v>9</v>
      </c>
      <c r="E9" s="5">
        <v>0</v>
      </c>
      <c r="F9" s="5">
        <v>2</v>
      </c>
      <c r="G9" s="5">
        <v>-2</v>
      </c>
    </row>
    <row r="10" spans="1:7" ht="15.6" x14ac:dyDescent="0.3">
      <c r="A10" s="1" t="s">
        <v>10</v>
      </c>
      <c r="B10" s="1">
        <v>7.1991088594743523E-6</v>
      </c>
      <c r="D10" s="5" t="s">
        <v>10</v>
      </c>
      <c r="E10" s="5">
        <v>1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3.0863657876974349E-6</v>
      </c>
      <c r="D11" s="5" t="s">
        <v>11</v>
      </c>
      <c r="E11" s="5">
        <v>-1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23.156199762596238</v>
      </c>
      <c r="G13">
        <f t="shared" si="0"/>
        <v>1.7255586269843795</v>
      </c>
    </row>
    <row r="14" spans="1:7" x14ac:dyDescent="0.3">
      <c r="E14">
        <f t="shared" ref="E14:G15" si="1">(E10-E4)^2</f>
        <v>0.60710421295698591</v>
      </c>
      <c r="F14">
        <f t="shared" si="1"/>
        <v>0</v>
      </c>
      <c r="G14">
        <f t="shared" si="1"/>
        <v>0</v>
      </c>
    </row>
    <row r="15" spans="1:7" x14ac:dyDescent="0.3">
      <c r="E15">
        <f t="shared" si="1"/>
        <v>8.4558597424470149E-3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25.497318462280052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D21A-91B9-413D-87A7-237727AE6C19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1.9143691383101995E-7</v>
      </c>
      <c r="D3" s="1" t="s">
        <v>9</v>
      </c>
      <c r="E3" s="1">
        <v>0</v>
      </c>
      <c r="F3" s="1">
        <v>-5.0674118571598239</v>
      </c>
      <c r="G3" s="1">
        <v>0.7130003776550683</v>
      </c>
    </row>
    <row r="4" spans="1:7" ht="15.6" x14ac:dyDescent="0.3">
      <c r="A4" s="1" t="s">
        <v>3</v>
      </c>
      <c r="B4" s="1">
        <v>5.5194007692799198</v>
      </c>
      <c r="D4" s="1" t="s">
        <v>10</v>
      </c>
      <c r="E4" s="1">
        <v>0.89542293230293757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0</v>
      </c>
      <c r="D5" s="1" t="s">
        <v>11</v>
      </c>
      <c r="E5" s="1">
        <v>0.82070550078160154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12747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2.6411122117468829E-9</v>
      </c>
      <c r="D9" s="5" t="s">
        <v>9</v>
      </c>
      <c r="E9" s="5">
        <v>0</v>
      </c>
      <c r="F9" s="5">
        <v>-2</v>
      </c>
      <c r="G9" s="5">
        <v>-1</v>
      </c>
    </row>
    <row r="10" spans="1:7" ht="15.6" x14ac:dyDescent="0.3">
      <c r="A10" s="1" t="s">
        <v>10</v>
      </c>
      <c r="B10" s="1">
        <v>7.8925627345747532E-10</v>
      </c>
      <c r="D10" s="5" t="s">
        <v>10</v>
      </c>
      <c r="E10" s="5">
        <v>1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5.7088037300785556E-7</v>
      </c>
      <c r="D11" s="5" t="s">
        <v>11</v>
      </c>
      <c r="E11" s="5">
        <v>2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9.4090155014446797</v>
      </c>
      <c r="G13">
        <f t="shared" si="0"/>
        <v>2.9343702938464062</v>
      </c>
    </row>
    <row r="14" spans="1:7" x14ac:dyDescent="0.3">
      <c r="E14">
        <f t="shared" ref="E14:G15" si="1">(E10-E4)^2</f>
        <v>1.0936363088115979E-2</v>
      </c>
      <c r="F14">
        <f t="shared" si="1"/>
        <v>0</v>
      </c>
      <c r="G14">
        <f t="shared" si="1"/>
        <v>0</v>
      </c>
    </row>
    <row r="15" spans="1:7" x14ac:dyDescent="0.3">
      <c r="E15">
        <f t="shared" si="1"/>
        <v>1.3907355158867731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13.745057674265974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47BB-8850-42AC-BF7C-800B472E78BD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4.0898572363616096E-9</v>
      </c>
      <c r="D3" s="1" t="s">
        <v>9</v>
      </c>
      <c r="E3" s="1">
        <v>0</v>
      </c>
      <c r="F3" s="1">
        <v>-1.0731408161941998</v>
      </c>
      <c r="G3" s="1">
        <v>0.48579049064278568</v>
      </c>
    </row>
    <row r="4" spans="1:7" ht="15.6" x14ac:dyDescent="0.3">
      <c r="A4" s="1" t="s">
        <v>3</v>
      </c>
      <c r="B4" s="1">
        <v>1.765265546183441</v>
      </c>
      <c r="D4" s="1" t="s">
        <v>10</v>
      </c>
      <c r="E4" s="1">
        <v>0.69306399801710017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1.5802502107792703E-33</v>
      </c>
      <c r="D5" s="1" t="s">
        <v>11</v>
      </c>
      <c r="E5" s="1">
        <v>-1.6265534117699063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7817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2.2585350745997352E-9</v>
      </c>
      <c r="D9" s="5" t="s">
        <v>9</v>
      </c>
      <c r="E9" s="5">
        <v>0</v>
      </c>
      <c r="F9" s="5">
        <v>-1</v>
      </c>
      <c r="G9" s="5">
        <v>1</v>
      </c>
    </row>
    <row r="10" spans="1:7" ht="15.6" x14ac:dyDescent="0.3">
      <c r="A10" s="1" t="s">
        <v>10</v>
      </c>
      <c r="B10" s="1">
        <v>9.6937931241610482E-9</v>
      </c>
      <c r="D10" s="5" t="s">
        <v>10</v>
      </c>
      <c r="E10" s="5">
        <v>2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3.1724351032404811E-10</v>
      </c>
      <c r="D11" s="5" t="s">
        <v>11</v>
      </c>
      <c r="E11" s="5">
        <v>-2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5.3495789935537148E-3</v>
      </c>
      <c r="G13">
        <f t="shared" si="0"/>
        <v>0.26441141951338709</v>
      </c>
    </row>
    <row r="14" spans="1:7" x14ac:dyDescent="0.3">
      <c r="E14">
        <f t="shared" ref="E14:G15" si="1">(E10-E4)^2</f>
        <v>1.7080817132790467</v>
      </c>
      <c r="F14">
        <f t="shared" si="1"/>
        <v>0</v>
      </c>
      <c r="G14">
        <f t="shared" si="1"/>
        <v>0</v>
      </c>
    </row>
    <row r="15" spans="1:7" x14ac:dyDescent="0.3">
      <c r="E15">
        <f t="shared" si="1"/>
        <v>0.13946235426069714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2.1173050660466846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2B8F-29E1-4315-852A-14C5AE3CB1A9}">
  <dimension ref="A1:O17"/>
  <sheetViews>
    <sheetView topLeftCell="B1" workbookViewId="0">
      <selection activeCell="E5" sqref="E5"/>
    </sheetView>
  </sheetViews>
  <sheetFormatPr defaultRowHeight="14.4" x14ac:dyDescent="0.3"/>
  <sheetData>
    <row r="1" spans="1:15" ht="15.6" x14ac:dyDescent="0.3">
      <c r="A1" s="3" t="s">
        <v>13</v>
      </c>
      <c r="L1" t="s">
        <v>32</v>
      </c>
      <c r="M1" t="s">
        <v>33</v>
      </c>
      <c r="N1" t="s">
        <v>34</v>
      </c>
      <c r="O1" t="s">
        <v>35</v>
      </c>
    </row>
    <row r="2" spans="1:15" x14ac:dyDescent="0.3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  <c r="L2" t="s">
        <v>36</v>
      </c>
      <c r="M2">
        <v>-2</v>
      </c>
      <c r="O2">
        <v>-1.9172498504166329</v>
      </c>
    </row>
    <row r="3" spans="1:15" x14ac:dyDescent="0.3">
      <c r="A3" t="s">
        <v>2</v>
      </c>
      <c r="B3">
        <v>2.3342747924720622E-10</v>
      </c>
      <c r="D3" t="s">
        <v>9</v>
      </c>
      <c r="E3">
        <v>0</v>
      </c>
      <c r="F3">
        <v>0.97636351832130952</v>
      </c>
      <c r="G3">
        <v>1.938793756197863</v>
      </c>
      <c r="L3" t="s">
        <v>37</v>
      </c>
      <c r="M3">
        <v>-1</v>
      </c>
    </row>
    <row r="4" spans="1:15" x14ac:dyDescent="0.3">
      <c r="A4" t="s">
        <v>3</v>
      </c>
      <c r="B4">
        <v>1.5345166658980798</v>
      </c>
      <c r="D4" t="s">
        <v>10</v>
      </c>
      <c r="E4">
        <v>-1.9172498504166329</v>
      </c>
      <c r="F4">
        <v>0</v>
      </c>
      <c r="G4">
        <v>0</v>
      </c>
      <c r="L4" t="s">
        <v>38</v>
      </c>
      <c r="M4">
        <v>1</v>
      </c>
    </row>
    <row r="5" spans="1:15" x14ac:dyDescent="0.3">
      <c r="A5" t="s">
        <v>4</v>
      </c>
      <c r="B5">
        <v>0</v>
      </c>
      <c r="D5" t="s">
        <v>11</v>
      </c>
      <c r="E5">
        <v>-0.90299641442118916</v>
      </c>
      <c r="F5">
        <v>0</v>
      </c>
      <c r="G5">
        <v>0</v>
      </c>
      <c r="L5" t="s">
        <v>39</v>
      </c>
      <c r="M5">
        <v>2</v>
      </c>
    </row>
    <row r="6" spans="1:15" x14ac:dyDescent="0.3">
      <c r="A6" t="s">
        <v>5</v>
      </c>
      <c r="B6">
        <v>32589</v>
      </c>
    </row>
    <row r="7" spans="1:15" x14ac:dyDescent="0.3">
      <c r="A7" t="s">
        <v>6</v>
      </c>
    </row>
    <row r="8" spans="1:15" x14ac:dyDescent="0.3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15" x14ac:dyDescent="0.3">
      <c r="A9" t="s">
        <v>9</v>
      </c>
      <c r="B9">
        <v>2.2947495891740553E-10</v>
      </c>
      <c r="D9" s="5" t="s">
        <v>9</v>
      </c>
      <c r="E9" s="5">
        <v>0</v>
      </c>
      <c r="F9" s="5">
        <v>1</v>
      </c>
      <c r="G9" s="5">
        <v>2</v>
      </c>
      <c r="I9" s="2"/>
      <c r="J9" s="2"/>
      <c r="K9" s="2"/>
    </row>
    <row r="10" spans="1:15" x14ac:dyDescent="0.3">
      <c r="A10" t="s">
        <v>10</v>
      </c>
      <c r="B10">
        <v>6.8433917350857093E-11</v>
      </c>
      <c r="D10" s="5" t="s">
        <v>10</v>
      </c>
      <c r="E10" s="5">
        <v>-2</v>
      </c>
      <c r="F10" s="5">
        <v>0</v>
      </c>
      <c r="G10" s="5">
        <v>0</v>
      </c>
      <c r="I10" s="2"/>
      <c r="J10" s="2"/>
      <c r="K10" s="2"/>
    </row>
    <row r="11" spans="1:15" x14ac:dyDescent="0.3">
      <c r="A11" t="s">
        <v>11</v>
      </c>
      <c r="B11">
        <v>4.0237356147335613E-10</v>
      </c>
      <c r="D11" s="5" t="s">
        <v>11</v>
      </c>
      <c r="E11" s="5">
        <v>-1</v>
      </c>
      <c r="F11" s="5">
        <v>0</v>
      </c>
      <c r="G11" s="5">
        <v>0</v>
      </c>
      <c r="I11" s="2"/>
      <c r="J11" s="2"/>
      <c r="K11" s="2"/>
    </row>
    <row r="13" spans="1:15" x14ac:dyDescent="0.3">
      <c r="E13">
        <f>(E9-E3)^2</f>
        <v>0</v>
      </c>
      <c r="F13">
        <f t="shared" ref="F13:G13" si="0">(F9-F3)^2</f>
        <v>5.5868326614707067E-4</v>
      </c>
      <c r="G13">
        <f t="shared" si="0"/>
        <v>3.7462042803666361E-3</v>
      </c>
    </row>
    <row r="14" spans="1:15" x14ac:dyDescent="0.3">
      <c r="E14">
        <f t="shared" ref="E14:G15" si="1">(E10-E4)^2</f>
        <v>6.8475872560696347E-3</v>
      </c>
      <c r="F14">
        <f t="shared" si="1"/>
        <v>0</v>
      </c>
      <c r="G14">
        <f t="shared" si="1"/>
        <v>0</v>
      </c>
    </row>
    <row r="15" spans="1:15" x14ac:dyDescent="0.3">
      <c r="E15">
        <f t="shared" si="1"/>
        <v>9.4096956151456784E-3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2.0562170417729023E-2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EB53-E5AB-4274-AFB9-D4C08DD6EBEC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1.9643489054756554E-8</v>
      </c>
      <c r="D3" s="1" t="s">
        <v>9</v>
      </c>
      <c r="E3" s="1">
        <v>0</v>
      </c>
      <c r="F3" s="1">
        <v>0.12445072792197941</v>
      </c>
      <c r="G3" s="1">
        <v>-2.865624295478185</v>
      </c>
    </row>
    <row r="4" spans="1:7" ht="15.6" x14ac:dyDescent="0.3">
      <c r="A4" s="1" t="s">
        <v>3</v>
      </c>
      <c r="B4" s="1">
        <v>1.5605437406259979</v>
      </c>
      <c r="D4" s="1" t="s">
        <v>10</v>
      </c>
      <c r="E4" s="1">
        <v>-0.77327159078847429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3.9506255269481758E-34</v>
      </c>
      <c r="D5" s="1" t="s">
        <v>11</v>
      </c>
      <c r="E5" s="1">
        <v>0.55177240953197182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15398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6.9913393515004661E-9</v>
      </c>
      <c r="D9" s="5" t="s">
        <v>9</v>
      </c>
      <c r="E9" s="5">
        <v>0</v>
      </c>
      <c r="F9" s="5">
        <v>2</v>
      </c>
      <c r="G9" s="5">
        <v>-2</v>
      </c>
    </row>
    <row r="10" spans="1:7" ht="15.6" x14ac:dyDescent="0.3">
      <c r="A10" s="1" t="s">
        <v>10</v>
      </c>
      <c r="B10" s="1">
        <v>3.3066115463034467E-10</v>
      </c>
      <c r="D10" s="5" t="s">
        <v>10</v>
      </c>
      <c r="E10" s="5">
        <v>-1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5.1608466658138847E-8</v>
      </c>
      <c r="D11" s="5" t="s">
        <v>11</v>
      </c>
      <c r="E11" s="5">
        <v>1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3.5176850719923931</v>
      </c>
      <c r="G13">
        <f t="shared" si="0"/>
        <v>0.74930542092210406</v>
      </c>
    </row>
    <row r="14" spans="1:7" x14ac:dyDescent="0.3">
      <c r="E14">
        <f t="shared" ref="E14:G15" si="1">(E10-E4)^2</f>
        <v>5.1405771543589052E-2</v>
      </c>
      <c r="F14">
        <f t="shared" si="1"/>
        <v>0</v>
      </c>
      <c r="G14">
        <f t="shared" si="1"/>
        <v>0</v>
      </c>
    </row>
    <row r="15" spans="1:7" x14ac:dyDescent="0.3">
      <c r="E15">
        <f t="shared" si="1"/>
        <v>0.20090797285677439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4.5193042373148611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2013-565D-4117-8E1E-C10958E38EE8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3.2026517032439675E-8</v>
      </c>
      <c r="D3" s="1" t="s">
        <v>9</v>
      </c>
      <c r="E3" s="1">
        <v>0</v>
      </c>
      <c r="F3" s="1">
        <v>0.69551611894684451</v>
      </c>
      <c r="G3" s="1">
        <v>-1.857762880613925</v>
      </c>
    </row>
    <row r="4" spans="1:7" ht="15.6" x14ac:dyDescent="0.3">
      <c r="A4" s="1" t="s">
        <v>3</v>
      </c>
      <c r="B4" s="1">
        <v>2.9138589760756863</v>
      </c>
      <c r="D4" s="1" t="s">
        <v>10</v>
      </c>
      <c r="E4" s="1">
        <v>-0.64380495267257265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9.8765638173704394E-35</v>
      </c>
      <c r="D5" s="1" t="s">
        <v>11</v>
      </c>
      <c r="E5" s="1">
        <v>1.6715817876490882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20357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4.5800403056051974E-8</v>
      </c>
      <c r="D9" s="5" t="s">
        <v>9</v>
      </c>
      <c r="E9" s="5">
        <v>0</v>
      </c>
      <c r="F9" s="5">
        <v>1</v>
      </c>
      <c r="G9" s="5">
        <v>-2</v>
      </c>
    </row>
    <row r="10" spans="1:7" ht="15.6" x14ac:dyDescent="0.3">
      <c r="A10" s="1" t="s">
        <v>10</v>
      </c>
      <c r="B10" s="1">
        <v>3.1702256025689229E-8</v>
      </c>
      <c r="D10" s="5" t="s">
        <v>10</v>
      </c>
      <c r="E10" s="5">
        <v>-1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1.8576892015577813E-8</v>
      </c>
      <c r="D11" s="5" t="s">
        <v>11</v>
      </c>
      <c r="E11" s="5">
        <v>2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9.2710433821192137E-2</v>
      </c>
      <c r="G13">
        <f t="shared" si="0"/>
        <v>2.0231398131248544E-2</v>
      </c>
    </row>
    <row r="14" spans="1:7" x14ac:dyDescent="0.3">
      <c r="E14">
        <f t="shared" ref="E14:G15" si="1">(E10-E4)^2</f>
        <v>0.12687491174058821</v>
      </c>
      <c r="F14">
        <f t="shared" si="1"/>
        <v>0</v>
      </c>
      <c r="G14">
        <f t="shared" si="1"/>
        <v>0</v>
      </c>
    </row>
    <row r="15" spans="1:7" x14ac:dyDescent="0.3">
      <c r="E15">
        <f t="shared" si="1"/>
        <v>0.10785852220376863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0.34767526589679754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13357-7328-4AD5-90E3-3258776CEF5B}">
  <dimension ref="A1:G21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4.6048869261108676E-9</v>
      </c>
      <c r="D3" s="1" t="s">
        <v>9</v>
      </c>
      <c r="E3" s="1">
        <v>0</v>
      </c>
      <c r="F3" s="1">
        <v>-1.8617870264344853</v>
      </c>
      <c r="G3" s="1">
        <v>-1.1292774190512369</v>
      </c>
    </row>
    <row r="4" spans="1:7" ht="15.6" x14ac:dyDescent="0.3">
      <c r="A4" s="1" t="s">
        <v>3</v>
      </c>
      <c r="B4" s="1">
        <v>1.5160869591830162</v>
      </c>
      <c r="D4" s="1" t="s">
        <v>10</v>
      </c>
      <c r="E4" s="1">
        <v>2.0977878204591645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0</v>
      </c>
      <c r="D5" s="1" t="s">
        <v>11</v>
      </c>
      <c r="E5" s="1">
        <v>0.62771919887126659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15989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3.5801334880585994E-11</v>
      </c>
      <c r="D9" s="5" t="s">
        <v>9</v>
      </c>
      <c r="E9" s="5">
        <v>0</v>
      </c>
      <c r="F9" s="5">
        <v>-2</v>
      </c>
      <c r="G9" s="5">
        <v>-1</v>
      </c>
    </row>
    <row r="10" spans="1:7" ht="15.6" x14ac:dyDescent="0.3">
      <c r="A10" s="1" t="s">
        <v>10</v>
      </c>
      <c r="B10" s="1">
        <v>2.6581136167266367E-9</v>
      </c>
      <c r="D10" s="5" t="s">
        <v>10</v>
      </c>
      <c r="E10" s="5">
        <v>2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1.1120745826725381E-8</v>
      </c>
      <c r="D11" s="5" t="s">
        <v>11</v>
      </c>
      <c r="E11" s="5">
        <v>1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1.9102826061821652E-2</v>
      </c>
      <c r="G13">
        <f t="shared" si="0"/>
        <v>1.6712651076549113E-2</v>
      </c>
    </row>
    <row r="14" spans="1:7" x14ac:dyDescent="0.3">
      <c r="E14">
        <f t="shared" ref="E14:G15" si="1">(E10-E4)^2</f>
        <v>9.5624578301537824E-3</v>
      </c>
      <c r="F14">
        <f t="shared" si="1"/>
        <v>0</v>
      </c>
      <c r="G14">
        <f t="shared" si="1"/>
        <v>0</v>
      </c>
    </row>
    <row r="15" spans="1:7" x14ac:dyDescent="0.3">
      <c r="E15">
        <f t="shared" si="1"/>
        <v>0.13859299488905155</v>
      </c>
      <c r="F15">
        <f t="shared" si="1"/>
        <v>0</v>
      </c>
      <c r="G15">
        <f t="shared" si="1"/>
        <v>0</v>
      </c>
    </row>
    <row r="17" spans="4:5" x14ac:dyDescent="0.3">
      <c r="E17" s="4">
        <f>SUM(E13:G15)</f>
        <v>0.1839709298575761</v>
      </c>
    </row>
    <row r="20" spans="4:5" x14ac:dyDescent="0.3">
      <c r="D20" s="8">
        <v>45843</v>
      </c>
      <c r="E20" t="s">
        <v>19</v>
      </c>
    </row>
    <row r="21" spans="4:5" x14ac:dyDescent="0.3">
      <c r="D21" s="8">
        <v>45845</v>
      </c>
      <c r="E21" t="s">
        <v>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DBDA-A255-485C-A114-9E4EBC1235F8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2.4795532731545985E-9</v>
      </c>
      <c r="D3" s="1" t="s">
        <v>9</v>
      </c>
      <c r="E3" s="1">
        <v>0</v>
      </c>
      <c r="F3" s="1">
        <v>-1.0427412296918674</v>
      </c>
      <c r="G3" s="1">
        <v>1.0614578428845651</v>
      </c>
    </row>
    <row r="4" spans="1:7" ht="15.6" x14ac:dyDescent="0.3">
      <c r="A4" s="1" t="s">
        <v>3</v>
      </c>
      <c r="B4" s="1">
        <v>1.8230234144100088</v>
      </c>
      <c r="D4" s="1" t="s">
        <v>10</v>
      </c>
      <c r="E4" s="1">
        <v>0.38636779470373972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0</v>
      </c>
      <c r="D5" s="1" t="s">
        <v>11</v>
      </c>
      <c r="E5" s="1">
        <v>-1.6710279658285323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14052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4.8095751618394253E-9</v>
      </c>
      <c r="D9" s="5" t="s">
        <v>9</v>
      </c>
      <c r="E9" s="5">
        <v>0</v>
      </c>
      <c r="F9" s="5">
        <v>-1</v>
      </c>
      <c r="G9" s="5">
        <v>2</v>
      </c>
    </row>
    <row r="10" spans="1:7" ht="15.6" x14ac:dyDescent="0.3">
      <c r="A10" s="1" t="s">
        <v>10</v>
      </c>
      <c r="B10" s="1">
        <v>2.0805605120133135E-9</v>
      </c>
      <c r="D10" s="5" t="s">
        <v>10</v>
      </c>
      <c r="E10" s="5">
        <v>1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5.4852414561105749E-10</v>
      </c>
      <c r="D11" s="5" t="s">
        <v>11</v>
      </c>
      <c r="E11" s="5">
        <v>-2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1.8268127155729712E-3</v>
      </c>
      <c r="G13">
        <f t="shared" si="0"/>
        <v>0.88086138068289366</v>
      </c>
    </row>
    <row r="14" spans="1:7" x14ac:dyDescent="0.3">
      <c r="E14">
        <f t="shared" ref="E14:G15" si="1">(E10-E4)^2</f>
        <v>0.37654448337675173</v>
      </c>
      <c r="F14">
        <f t="shared" si="1"/>
        <v>0</v>
      </c>
      <c r="G14">
        <f t="shared" si="1"/>
        <v>0</v>
      </c>
    </row>
    <row r="15" spans="1:7" x14ac:dyDescent="0.3">
      <c r="E15">
        <f t="shared" si="1"/>
        <v>0.10822259926691331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1.3674552760421317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425B-5620-4431-B514-B1BBE2549DEE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1.2693044435233263E-9</v>
      </c>
      <c r="D3" s="1" t="s">
        <v>9</v>
      </c>
      <c r="E3" s="1">
        <v>0</v>
      </c>
      <c r="F3" s="1">
        <v>1.9488276786473733</v>
      </c>
      <c r="G3" s="1">
        <v>0.98139866837335665</v>
      </c>
    </row>
    <row r="4" spans="1:7" ht="15.6" x14ac:dyDescent="0.3">
      <c r="A4" s="1" t="s">
        <v>3</v>
      </c>
      <c r="B4" s="1">
        <v>1.6122588304808292</v>
      </c>
      <c r="D4" s="1" t="s">
        <v>10</v>
      </c>
      <c r="E4" s="1">
        <v>-1.9105285491502562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0</v>
      </c>
      <c r="D5" s="1" t="s">
        <v>11</v>
      </c>
      <c r="E5" s="1">
        <v>-0.8512982113271802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21290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5.5877163044234765E-11</v>
      </c>
      <c r="D9" s="5" t="s">
        <v>9</v>
      </c>
      <c r="E9" s="5">
        <v>0</v>
      </c>
      <c r="F9" s="5">
        <v>2</v>
      </c>
      <c r="G9" s="5">
        <v>1</v>
      </c>
    </row>
    <row r="10" spans="1:7" ht="15.6" x14ac:dyDescent="0.3">
      <c r="A10" s="1" t="s">
        <v>10</v>
      </c>
      <c r="B10" s="1">
        <v>6.1752016604826683E-10</v>
      </c>
      <c r="D10" s="5" t="s">
        <v>10</v>
      </c>
      <c r="E10" s="5">
        <v>-2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3.1345160014774769E-9</v>
      </c>
      <c r="D11" s="5" t="s">
        <v>11</v>
      </c>
      <c r="E11" s="5">
        <v>-1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2.618606472616497E-3</v>
      </c>
      <c r="G13">
        <f t="shared" si="0"/>
        <v>3.46009538284362E-4</v>
      </c>
    </row>
    <row r="14" spans="1:7" x14ac:dyDescent="0.3">
      <c r="E14">
        <f t="shared" ref="E14:G15" si="1">(E10-E4)^2</f>
        <v>8.005140517158128E-3</v>
      </c>
      <c r="F14">
        <f t="shared" si="1"/>
        <v>0</v>
      </c>
      <c r="G14">
        <f t="shared" si="1"/>
        <v>0</v>
      </c>
    </row>
    <row r="15" spans="1:7" x14ac:dyDescent="0.3">
      <c r="E15">
        <f t="shared" si="1"/>
        <v>2.2112221954495959E-2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3.3081978482554945E-2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7287-090A-46B7-BA3C-27A59C785353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4.0462837898782125E-9</v>
      </c>
      <c r="D3" s="1" t="s">
        <v>9</v>
      </c>
      <c r="E3" s="1">
        <v>0</v>
      </c>
      <c r="F3" s="1">
        <v>0.46953231679986168</v>
      </c>
      <c r="G3" s="1">
        <v>-1.0894246672419787</v>
      </c>
    </row>
    <row r="4" spans="1:7" ht="15.6" x14ac:dyDescent="0.3">
      <c r="A4" s="1" t="s">
        <v>3</v>
      </c>
      <c r="B4" s="1">
        <v>1.7932236177357699</v>
      </c>
      <c r="D4" s="1" t="s">
        <v>10</v>
      </c>
      <c r="E4" s="1">
        <v>-1.6248996414191519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1.5802502107792703E-33</v>
      </c>
      <c r="D5" s="1" t="s">
        <v>11</v>
      </c>
      <c r="E5" s="1">
        <v>0.6980147509227046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8585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2.7080319783283018E-9</v>
      </c>
      <c r="D9" s="5" t="s">
        <v>9</v>
      </c>
      <c r="E9" s="5">
        <v>0</v>
      </c>
      <c r="F9" s="5">
        <v>1</v>
      </c>
      <c r="G9" s="5">
        <v>-1</v>
      </c>
    </row>
    <row r="10" spans="1:7" ht="15.6" x14ac:dyDescent="0.3">
      <c r="A10" s="1" t="s">
        <v>10</v>
      </c>
      <c r="B10" s="1">
        <v>1.6038812233225376E-10</v>
      </c>
      <c r="D10" s="5" t="s">
        <v>10</v>
      </c>
      <c r="E10" s="5">
        <v>-2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9.2704312689740813E-9</v>
      </c>
      <c r="D11" s="5" t="s">
        <v>11</v>
      </c>
      <c r="E11" s="5">
        <v>2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0.28139596291972224</v>
      </c>
      <c r="G13">
        <f t="shared" si="0"/>
        <v>7.9967711113386238E-3</v>
      </c>
    </row>
    <row r="14" spans="1:7" x14ac:dyDescent="0.3">
      <c r="E14">
        <f t="shared" ref="E14:G15" si="1">(E10-E4)^2</f>
        <v>0.14070027900748083</v>
      </c>
      <c r="F14">
        <f t="shared" si="1"/>
        <v>0</v>
      </c>
      <c r="G14">
        <f t="shared" si="1"/>
        <v>0</v>
      </c>
    </row>
    <row r="15" spans="1:7" x14ac:dyDescent="0.3">
      <c r="E15">
        <f t="shared" si="1"/>
        <v>1.6951655888148669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2.1252586018534085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32DC-5CB8-4BC9-A4C1-B2561DEDF703}">
  <dimension ref="A1:L17"/>
  <sheetViews>
    <sheetView workbookViewId="0">
      <selection activeCell="E9" sqref="E9:G11"/>
    </sheetView>
  </sheetViews>
  <sheetFormatPr defaultRowHeight="14.4" x14ac:dyDescent="0.3"/>
  <sheetData>
    <row r="1" spans="1:12" ht="15.6" x14ac:dyDescent="0.3">
      <c r="A1" s="3" t="s">
        <v>13</v>
      </c>
    </row>
    <row r="2" spans="1:12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  <c r="I2" s="1" t="s">
        <v>12</v>
      </c>
      <c r="J2" s="1" t="s">
        <v>9</v>
      </c>
      <c r="K2" s="1" t="s">
        <v>10</v>
      </c>
      <c r="L2" s="1" t="s">
        <v>11</v>
      </c>
    </row>
    <row r="3" spans="1:12" ht="15.6" x14ac:dyDescent="0.3">
      <c r="A3" s="1" t="s">
        <v>2</v>
      </c>
      <c r="B3" s="1">
        <v>1.9169131769053284E-7</v>
      </c>
      <c r="D3" s="1" t="s">
        <v>9</v>
      </c>
      <c r="E3" s="1">
        <v>0</v>
      </c>
      <c r="F3" s="1">
        <v>0.34074739857851283</v>
      </c>
      <c r="G3" s="1">
        <v>-4.3725873375717361</v>
      </c>
      <c r="I3" s="1" t="s">
        <v>9</v>
      </c>
      <c r="J3" s="1">
        <v>0</v>
      </c>
      <c r="K3" s="1" t="s">
        <v>26</v>
      </c>
      <c r="L3" s="1" t="s">
        <v>27</v>
      </c>
    </row>
    <row r="4" spans="1:12" ht="15.6" x14ac:dyDescent="0.3">
      <c r="A4" s="1" t="s">
        <v>3</v>
      </c>
      <c r="B4" s="1">
        <v>4.2742290740934958</v>
      </c>
      <c r="D4" s="1" t="s">
        <v>10</v>
      </c>
      <c r="E4" s="1">
        <v>0.81996987327273685</v>
      </c>
      <c r="F4" s="1">
        <v>0</v>
      </c>
      <c r="G4" s="1">
        <v>0</v>
      </c>
      <c r="I4" s="1" t="s">
        <v>10</v>
      </c>
      <c r="J4" s="1" t="s">
        <v>24</v>
      </c>
      <c r="K4" s="1">
        <v>0</v>
      </c>
      <c r="L4" s="1">
        <v>0</v>
      </c>
    </row>
    <row r="5" spans="1:12" ht="15.6" x14ac:dyDescent="0.3">
      <c r="A5" s="1" t="s">
        <v>4</v>
      </c>
      <c r="B5" s="1">
        <v>0</v>
      </c>
      <c r="D5" s="1" t="s">
        <v>11</v>
      </c>
      <c r="E5" s="1">
        <v>0.99896440275940501</v>
      </c>
      <c r="F5" s="1">
        <v>0</v>
      </c>
      <c r="G5" s="1">
        <v>0</v>
      </c>
      <c r="I5" s="1" t="s">
        <v>11</v>
      </c>
      <c r="J5" s="1" t="s">
        <v>25</v>
      </c>
      <c r="K5" s="1">
        <v>0</v>
      </c>
      <c r="L5" s="1">
        <v>0</v>
      </c>
    </row>
    <row r="6" spans="1:12" ht="15.6" x14ac:dyDescent="0.3">
      <c r="A6" s="1" t="s">
        <v>5</v>
      </c>
      <c r="B6" s="1">
        <v>18977</v>
      </c>
    </row>
    <row r="7" spans="1:12" ht="15.6" x14ac:dyDescent="0.3">
      <c r="A7" s="1" t="s">
        <v>6</v>
      </c>
      <c r="B7" s="1"/>
    </row>
    <row r="8" spans="1:12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12" ht="15.6" x14ac:dyDescent="0.3">
      <c r="A9" s="1" t="s">
        <v>9</v>
      </c>
      <c r="B9" s="1">
        <v>5.1656461850211027E-9</v>
      </c>
      <c r="D9" s="5" t="s">
        <v>9</v>
      </c>
      <c r="E9" s="5">
        <v>0</v>
      </c>
      <c r="F9" s="5">
        <v>-1</v>
      </c>
      <c r="G9" s="5">
        <v>-2</v>
      </c>
    </row>
    <row r="10" spans="1:12" ht="15.6" x14ac:dyDescent="0.3">
      <c r="A10" s="1" t="s">
        <v>10</v>
      </c>
      <c r="B10" s="1">
        <v>5.697679626846172E-7</v>
      </c>
      <c r="D10" s="5" t="s">
        <v>10</v>
      </c>
      <c r="E10" s="5">
        <v>2</v>
      </c>
      <c r="F10" s="5">
        <v>0</v>
      </c>
      <c r="G10" s="5">
        <v>0</v>
      </c>
    </row>
    <row r="11" spans="1:12" ht="15.6" x14ac:dyDescent="0.3">
      <c r="A11" s="1" t="s">
        <v>11</v>
      </c>
      <c r="B11" s="1">
        <v>1.4034420196021898E-10</v>
      </c>
      <c r="D11" s="5" t="s">
        <v>11</v>
      </c>
      <c r="E11" s="5">
        <v>1</v>
      </c>
      <c r="F11" s="5">
        <v>0</v>
      </c>
      <c r="G11" s="5">
        <v>0</v>
      </c>
    </row>
    <row r="13" spans="1:12" x14ac:dyDescent="0.3">
      <c r="E13">
        <f>(E9-E3)^2</f>
        <v>0</v>
      </c>
      <c r="F13">
        <f t="shared" ref="F13:G13" si="0">(F9-F3)^2</f>
        <v>1.7976035867950495</v>
      </c>
      <c r="G13">
        <f t="shared" si="0"/>
        <v>5.6291706744057395</v>
      </c>
    </row>
    <row r="14" spans="1:12" x14ac:dyDescent="0.3">
      <c r="E14">
        <f t="shared" ref="E14:G15" si="1">(E10-E4)^2</f>
        <v>1.3924710999839609</v>
      </c>
      <c r="F14">
        <f t="shared" si="1"/>
        <v>0</v>
      </c>
      <c r="G14">
        <f t="shared" si="1"/>
        <v>0</v>
      </c>
    </row>
    <row r="15" spans="1:12" x14ac:dyDescent="0.3">
      <c r="E15">
        <f t="shared" si="1"/>
        <v>1.0724616447279527E-6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8.8192464336463949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915-D109-4AA4-A810-F235ABDB6BB3}">
  <dimension ref="A1:G17"/>
  <sheetViews>
    <sheetView workbookViewId="0">
      <selection activeCell="E9" sqref="E9:G11"/>
    </sheetView>
  </sheetViews>
  <sheetFormatPr defaultRowHeight="14.4" x14ac:dyDescent="0.3"/>
  <cols>
    <col min="1" max="1" width="14.6640625" bestFit="1" customWidth="1"/>
    <col min="2" max="2" width="13.6640625" bestFit="1" customWidth="1"/>
    <col min="4" max="4" width="27.109375" bestFit="1" customWidth="1"/>
    <col min="5" max="5" width="13.6640625" bestFit="1" customWidth="1"/>
    <col min="6" max="6" width="14.44140625" bestFit="1" customWidth="1"/>
    <col min="7" max="7" width="13.6640625" bestFit="1" customWidth="1"/>
  </cols>
  <sheetData>
    <row r="1" spans="1:7" ht="15.6" x14ac:dyDescent="0.3">
      <c r="A1" s="3" t="s">
        <v>13</v>
      </c>
    </row>
    <row r="2" spans="1:7" ht="15.6" x14ac:dyDescent="0.3">
      <c r="A2" s="1" t="s">
        <v>0</v>
      </c>
      <c r="B2" s="1" t="s">
        <v>1</v>
      </c>
      <c r="D2" s="1" t="s">
        <v>12</v>
      </c>
      <c r="E2" s="1" t="s">
        <v>9</v>
      </c>
      <c r="F2" s="1" t="s">
        <v>10</v>
      </c>
      <c r="G2" s="1" t="s">
        <v>11</v>
      </c>
    </row>
    <row r="3" spans="1:7" ht="15.6" x14ac:dyDescent="0.3">
      <c r="A3" s="1" t="s">
        <v>2</v>
      </c>
      <c r="B3" s="1">
        <v>1.7357839937239472E-8</v>
      </c>
      <c r="D3" s="1" t="s">
        <v>9</v>
      </c>
      <c r="E3" s="1">
        <v>0</v>
      </c>
      <c r="F3" s="1">
        <v>-2.80691677288196</v>
      </c>
      <c r="G3" s="1">
        <v>0.12714788560676182</v>
      </c>
    </row>
    <row r="4" spans="1:7" ht="15.6" x14ac:dyDescent="0.3">
      <c r="A4" s="1" t="s">
        <v>3</v>
      </c>
      <c r="B4" s="1">
        <v>2.1957155835538322</v>
      </c>
      <c r="D4" s="1" t="s">
        <v>10</v>
      </c>
      <c r="E4" s="1">
        <v>0.4924135273889369</v>
      </c>
      <c r="F4" s="1">
        <v>0</v>
      </c>
      <c r="G4" s="1">
        <v>0</v>
      </c>
    </row>
    <row r="5" spans="1:7" ht="15.6" x14ac:dyDescent="0.3">
      <c r="A5" s="1" t="s">
        <v>4</v>
      </c>
      <c r="B5" s="1">
        <v>3.9506255269481758E-34</v>
      </c>
      <c r="D5" s="1" t="s">
        <v>11</v>
      </c>
      <c r="E5" s="1">
        <v>-0.73367734028041409</v>
      </c>
      <c r="F5" s="1">
        <v>0</v>
      </c>
      <c r="G5" s="1">
        <v>0</v>
      </c>
    </row>
    <row r="6" spans="1:7" ht="15.6" x14ac:dyDescent="0.3">
      <c r="A6" s="1" t="s">
        <v>5</v>
      </c>
      <c r="B6" s="1">
        <v>14339</v>
      </c>
    </row>
    <row r="7" spans="1:7" ht="15.6" x14ac:dyDescent="0.3">
      <c r="A7" s="1" t="s">
        <v>6</v>
      </c>
      <c r="B7" s="1"/>
    </row>
    <row r="8" spans="1:7" ht="15.6" x14ac:dyDescent="0.3">
      <c r="A8" s="1" t="s">
        <v>7</v>
      </c>
      <c r="B8" s="1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 ht="15.6" x14ac:dyDescent="0.3">
      <c r="A9" s="1" t="s">
        <v>9</v>
      </c>
      <c r="B9" s="1">
        <v>5.7745710571942133E-9</v>
      </c>
      <c r="D9" s="5" t="s">
        <v>9</v>
      </c>
      <c r="E9" s="5">
        <v>0</v>
      </c>
      <c r="F9" s="5">
        <v>-2</v>
      </c>
      <c r="G9" s="5">
        <v>2</v>
      </c>
    </row>
    <row r="10" spans="1:7" ht="15.6" x14ac:dyDescent="0.3">
      <c r="A10" s="1" t="s">
        <v>10</v>
      </c>
      <c r="B10" s="1">
        <v>4.5896529713077091E-8</v>
      </c>
      <c r="D10" s="5" t="s">
        <v>10</v>
      </c>
      <c r="E10" s="5">
        <v>1</v>
      </c>
      <c r="F10" s="5">
        <v>0</v>
      </c>
      <c r="G10" s="5">
        <v>0</v>
      </c>
    </row>
    <row r="11" spans="1:7" ht="15.6" x14ac:dyDescent="0.3">
      <c r="A11" s="1" t="s">
        <v>11</v>
      </c>
      <c r="B11" s="1">
        <v>4.0241904144710565E-10</v>
      </c>
      <c r="D11" s="5" t="s">
        <v>11</v>
      </c>
      <c r="E11" s="5">
        <v>-1</v>
      </c>
      <c r="F11" s="5">
        <v>0</v>
      </c>
      <c r="G11" s="5">
        <v>0</v>
      </c>
    </row>
    <row r="13" spans="1:7" x14ac:dyDescent="0.3">
      <c r="E13">
        <f>(E9-E3)^2</f>
        <v>0</v>
      </c>
      <c r="F13">
        <f t="shared" ref="F13:G13" si="0">(F9-F3)^2</f>
        <v>0.65111467835823655</v>
      </c>
      <c r="G13">
        <f t="shared" si="0"/>
        <v>3.5075750423872227</v>
      </c>
    </row>
    <row r="14" spans="1:7" x14ac:dyDescent="0.3">
      <c r="E14">
        <f t="shared" ref="E14:G14" si="1">(E10-E4)^2</f>
        <v>0.25764402717774143</v>
      </c>
      <c r="F14">
        <f t="shared" si="1"/>
        <v>0</v>
      </c>
      <c r="G14">
        <f t="shared" si="1"/>
        <v>0</v>
      </c>
    </row>
    <row r="15" spans="1:7" x14ac:dyDescent="0.3">
      <c r="E15">
        <f t="shared" ref="E15:G15" si="2">(E11-E5)^2</f>
        <v>7.0927759080114353E-2</v>
      </c>
      <c r="F15">
        <f t="shared" si="2"/>
        <v>0</v>
      </c>
      <c r="G15">
        <f t="shared" si="2"/>
        <v>0</v>
      </c>
    </row>
    <row r="17" spans="5:5" x14ac:dyDescent="0.3">
      <c r="E17" s="4">
        <f>SUM(E13:G15)</f>
        <v>4.4872615070033159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C797-15E5-44E0-AC2D-B841399843F1}">
  <dimension ref="A1:G17"/>
  <sheetViews>
    <sheetView workbookViewId="0">
      <selection activeCell="E9" sqref="E9:G11"/>
    </sheetView>
  </sheetViews>
  <sheetFormatPr defaultRowHeight="14.4" x14ac:dyDescent="0.3"/>
  <cols>
    <col min="1" max="1" width="14.6640625" bestFit="1" customWidth="1"/>
    <col min="2" max="2" width="13.6640625" bestFit="1" customWidth="1"/>
    <col min="4" max="4" width="27.109375" bestFit="1" customWidth="1"/>
    <col min="5" max="5" width="13.6640625" bestFit="1" customWidth="1"/>
    <col min="6" max="6" width="14.44140625" bestFit="1" customWidth="1"/>
    <col min="7" max="7" width="13.6640625" bestFit="1" customWidth="1"/>
  </cols>
  <sheetData>
    <row r="1" spans="1:7" ht="15.6" x14ac:dyDescent="0.3">
      <c r="A1" s="3" t="s">
        <v>13</v>
      </c>
    </row>
    <row r="2" spans="1:7" x14ac:dyDescent="0.3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 x14ac:dyDescent="0.3">
      <c r="A3" t="s">
        <v>2</v>
      </c>
      <c r="B3">
        <v>2.9674716825933229E-10</v>
      </c>
      <c r="D3" t="s">
        <v>9</v>
      </c>
      <c r="E3">
        <v>0</v>
      </c>
      <c r="F3">
        <v>1.941180977548161</v>
      </c>
      <c r="G3">
        <v>0.97480512301039324</v>
      </c>
    </row>
    <row r="4" spans="1:7" x14ac:dyDescent="0.3">
      <c r="A4" t="s">
        <v>3</v>
      </c>
      <c r="B4">
        <v>1.6694740698934232</v>
      </c>
      <c r="D4" t="s">
        <v>10</v>
      </c>
      <c r="E4">
        <v>-0.9026464046086855</v>
      </c>
      <c r="F4">
        <v>0</v>
      </c>
      <c r="G4">
        <v>0</v>
      </c>
    </row>
    <row r="5" spans="1:7" x14ac:dyDescent="0.3">
      <c r="A5" t="s">
        <v>4</v>
      </c>
      <c r="B5">
        <v>0</v>
      </c>
      <c r="D5" t="s">
        <v>11</v>
      </c>
      <c r="E5">
        <v>-1.9146499215990396</v>
      </c>
      <c r="F5">
        <v>0</v>
      </c>
      <c r="G5">
        <v>0</v>
      </c>
    </row>
    <row r="6" spans="1:7" x14ac:dyDescent="0.3">
      <c r="A6" t="s">
        <v>5</v>
      </c>
      <c r="B6">
        <v>29308</v>
      </c>
    </row>
    <row r="7" spans="1:7" x14ac:dyDescent="0.3">
      <c r="A7" t="s">
        <v>6</v>
      </c>
    </row>
    <row r="8" spans="1:7" x14ac:dyDescent="0.3">
      <c r="A8" t="s">
        <v>7</v>
      </c>
      <c r="B8" t="s">
        <v>8</v>
      </c>
      <c r="D8" s="2" t="s">
        <v>12</v>
      </c>
      <c r="E8" s="2" t="s">
        <v>9</v>
      </c>
      <c r="F8" s="2" t="s">
        <v>10</v>
      </c>
      <c r="G8" s="2" t="s">
        <v>11</v>
      </c>
    </row>
    <row r="9" spans="1:7" x14ac:dyDescent="0.3">
      <c r="A9" t="s">
        <v>9</v>
      </c>
      <c r="B9">
        <v>1.3394225160475761E-10</v>
      </c>
      <c r="D9" s="2" t="s">
        <v>9</v>
      </c>
      <c r="E9" s="2">
        <v>0</v>
      </c>
      <c r="F9" s="2">
        <v>2</v>
      </c>
      <c r="G9" s="2">
        <v>1</v>
      </c>
    </row>
    <row r="10" spans="1:7" x14ac:dyDescent="0.3">
      <c r="A10" t="s">
        <v>10</v>
      </c>
      <c r="B10">
        <v>6.0281895804085737E-10</v>
      </c>
      <c r="D10" s="2" t="s">
        <v>10</v>
      </c>
      <c r="E10" s="2">
        <v>-1</v>
      </c>
      <c r="F10" s="2">
        <v>0</v>
      </c>
      <c r="G10" s="2">
        <v>0</v>
      </c>
    </row>
    <row r="11" spans="1:7" x14ac:dyDescent="0.3">
      <c r="A11" t="s">
        <v>11</v>
      </c>
      <c r="B11">
        <v>1.534802951323818E-10</v>
      </c>
      <c r="D11" s="2" t="s">
        <v>11</v>
      </c>
      <c r="E11" s="2">
        <v>-2</v>
      </c>
      <c r="F11" s="2">
        <v>0</v>
      </c>
      <c r="G11" s="2">
        <v>0</v>
      </c>
    </row>
    <row r="13" spans="1:7" x14ac:dyDescent="0.3">
      <c r="E13">
        <f>(E9-E3)^2</f>
        <v>0</v>
      </c>
      <c r="F13">
        <f t="shared" ref="F13:G13" si="0">(F9-F3)^2</f>
        <v>3.4596774021899415E-3</v>
      </c>
      <c r="G13">
        <f t="shared" si="0"/>
        <v>6.3478182652141636E-4</v>
      </c>
    </row>
    <row r="14" spans="1:7" x14ac:dyDescent="0.3">
      <c r="E14">
        <f t="shared" ref="E14:G15" si="1">(E10-E4)^2</f>
        <v>9.4777225356157714E-3</v>
      </c>
      <c r="F14">
        <f t="shared" si="1"/>
        <v>0</v>
      </c>
      <c r="G14">
        <f t="shared" si="1"/>
        <v>0</v>
      </c>
    </row>
    <row r="15" spans="1:7" x14ac:dyDescent="0.3">
      <c r="E15">
        <f t="shared" si="1"/>
        <v>7.2846358830500916E-3</v>
      </c>
      <c r="F15">
        <f t="shared" si="1"/>
        <v>0</v>
      </c>
      <c r="G15">
        <f t="shared" si="1"/>
        <v>0</v>
      </c>
    </row>
    <row r="17" spans="5:5" x14ac:dyDescent="0.3">
      <c r="E17" s="4">
        <f>SUM(E13:G15)</f>
        <v>2.0856817647377221E-2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5B7ED115EF04980BBFAFC51672553" ma:contentTypeVersion="9" ma:contentTypeDescription="Create a new document." ma:contentTypeScope="" ma:versionID="43a679fe5cbd3b1dc01cea5b3bb6a16a">
  <xsd:schema xmlns:xsd="http://www.w3.org/2001/XMLSchema" xmlns:xs="http://www.w3.org/2001/XMLSchema" xmlns:p="http://schemas.microsoft.com/office/2006/metadata/properties" xmlns:ns3="070f1269-45c1-4463-99ba-5dc4e57c7dff" xmlns:ns4="7bf50b4b-6300-445a-aea1-306a2291592c" targetNamespace="http://schemas.microsoft.com/office/2006/metadata/properties" ma:root="true" ma:fieldsID="b0963d0390b393dc53bf13ff5a8315f4" ns3:_="" ns4:_="">
    <xsd:import namespace="070f1269-45c1-4463-99ba-5dc4e57c7dff"/>
    <xsd:import namespace="7bf50b4b-6300-445a-aea1-306a229159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f1269-45c1-4463-99ba-5dc4e57c7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0b4b-6300-445a-aea1-306a22915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0f1269-45c1-4463-99ba-5dc4e57c7dff" xsi:nil="true"/>
  </documentManagement>
</p:properties>
</file>

<file path=customXml/itemProps1.xml><?xml version="1.0" encoding="utf-8"?>
<ds:datastoreItem xmlns:ds="http://schemas.openxmlformats.org/officeDocument/2006/customXml" ds:itemID="{02EB7017-44D4-47C1-BB45-296DD07AFB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f1269-45c1-4463-99ba-5dc4e57c7dff"/>
    <ds:schemaRef ds:uri="7bf50b4b-6300-445a-aea1-306a22915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EE723E-1688-4D1F-8FE6-FDF4658485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AD4690-B959-480E-AC59-DDDE87F8E768}">
  <ds:schemaRefs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7bf50b4b-6300-445a-aea1-306a2291592c"/>
    <ds:schemaRef ds:uri="070f1269-45c1-4463-99ba-5dc4e57c7dff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</vt:i4>
      </vt:variant>
    </vt:vector>
  </HeadingPairs>
  <TitlesOfParts>
    <vt:vector size="28" baseType="lpstr">
      <vt:lpstr>stacked graphs</vt:lpstr>
      <vt:lpstr>compare no const with Pb const</vt:lpstr>
      <vt:lpstr>No Constants</vt:lpstr>
      <vt:lpstr>10.23</vt:lpstr>
      <vt:lpstr>10.22</vt:lpstr>
      <vt:lpstr>10.21</vt:lpstr>
      <vt:lpstr>10.20</vt:lpstr>
      <vt:lpstr>10.19</vt:lpstr>
      <vt:lpstr>10.18</vt:lpstr>
      <vt:lpstr>10.17</vt:lpstr>
      <vt:lpstr>10.16</vt:lpstr>
      <vt:lpstr>10.15</vt:lpstr>
      <vt:lpstr>10.14</vt:lpstr>
      <vt:lpstr>10.13</vt:lpstr>
      <vt:lpstr>10.12</vt:lpstr>
      <vt:lpstr>10.11</vt:lpstr>
      <vt:lpstr>10.10</vt:lpstr>
      <vt:lpstr>10.9</vt:lpstr>
      <vt:lpstr>10.8</vt:lpstr>
      <vt:lpstr>10.7</vt:lpstr>
      <vt:lpstr>10.6</vt:lpstr>
      <vt:lpstr>10.5</vt:lpstr>
      <vt:lpstr>10.4</vt:lpstr>
      <vt:lpstr>10.3</vt:lpstr>
      <vt:lpstr>10.2</vt:lpstr>
      <vt:lpstr>10.1</vt:lpstr>
      <vt:lpstr>10.0</vt:lpstr>
      <vt:lpstr>'No Constants'!Print_Area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Chun, Nikki</cp:lastModifiedBy>
  <cp:lastPrinted>2025-07-11T16:13:02Z</cp:lastPrinted>
  <dcterms:created xsi:type="dcterms:W3CDTF">2024-12-01T23:32:22Z</dcterms:created>
  <dcterms:modified xsi:type="dcterms:W3CDTF">2026-04-21T02:16:51Z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0x0101008DB5B7ED115EF04980BBFAFC51672553</vt:lpwstr>
  </property>
</Properties>
</file>