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4400" yWindow="0" windowWidth="14400" windowHeight="15600" tabRatio="845"/>
  </bookViews>
  <sheets>
    <sheet name="B constant" sheetId="1" r:id="rId1"/>
    <sheet name="10.23" sheetId="24" r:id="rId2"/>
    <sheet name="10.22" sheetId="23" r:id="rId3"/>
    <sheet name="10.21" sheetId="22" r:id="rId4"/>
    <sheet name="10.20" sheetId="21" r:id="rId5"/>
    <sheet name="10.19" sheetId="20" r:id="rId6"/>
    <sheet name="10.18" sheetId="19" r:id="rId7"/>
    <sheet name="10.17" sheetId="18" r:id="rId8"/>
    <sheet name="10.16" sheetId="17" r:id="rId9"/>
    <sheet name="10.15" sheetId="16" r:id="rId10"/>
    <sheet name="10.14" sheetId="15" r:id="rId11"/>
    <sheet name="10.13" sheetId="14" r:id="rId12"/>
    <sheet name="10.12" sheetId="13" r:id="rId13"/>
    <sheet name="10.11" sheetId="9" r:id="rId14"/>
    <sheet name="10.10" sheetId="25" r:id="rId15"/>
    <sheet name="10.9" sheetId="10" r:id="rId16"/>
    <sheet name="10.8" sheetId="12" r:id="rId17"/>
    <sheet name="10.7" sheetId="8" r:id="rId18"/>
    <sheet name="10.6" sheetId="7" r:id="rId19"/>
    <sheet name="10.5" sheetId="6" r:id="rId20"/>
    <sheet name="10.4" sheetId="5" r:id="rId21"/>
    <sheet name="10.3" sheetId="4" r:id="rId22"/>
    <sheet name="10.2" sheetId="3" r:id="rId23"/>
    <sheet name="10.1" sheetId="2" r:id="rId24"/>
    <sheet name="10.0" sheetId="26" r:id="rId25"/>
  </sheets>
  <definedNames>
    <definedName name="_xlnm.Print_Area" localSheetId="0">'B constant'!$E$1:$G$27</definedName>
  </definedNames>
  <calcPr calcId="14562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B27" i="1" l="1"/>
  <c r="B26" i="1"/>
  <c r="G15" i="26"/>
  <c r="F15" i="26"/>
  <c r="E15" i="26"/>
  <c r="G14" i="26"/>
  <c r="F14" i="26"/>
  <c r="E14" i="26"/>
  <c r="G13" i="26"/>
  <c r="F13" i="26"/>
  <c r="E13" i="26"/>
  <c r="G15" i="15"/>
  <c r="F15" i="15"/>
  <c r="E15" i="15"/>
  <c r="G14" i="15"/>
  <c r="F14" i="15"/>
  <c r="E14" i="15"/>
  <c r="G13" i="15"/>
  <c r="F13" i="15"/>
  <c r="E13" i="15"/>
  <c r="G15" i="25"/>
  <c r="F15" i="25"/>
  <c r="E15" i="25"/>
  <c r="G14" i="25"/>
  <c r="F14" i="25"/>
  <c r="E14" i="25"/>
  <c r="G13" i="25"/>
  <c r="F13" i="25"/>
  <c r="E13" i="25"/>
  <c r="G15" i="24"/>
  <c r="F15" i="24"/>
  <c r="E15" i="24"/>
  <c r="G14" i="24"/>
  <c r="F14" i="24"/>
  <c r="E14" i="24"/>
  <c r="G13" i="24"/>
  <c r="F13" i="24"/>
  <c r="E13" i="24"/>
  <c r="G15" i="23"/>
  <c r="F15" i="23"/>
  <c r="E15" i="23"/>
  <c r="G14" i="23"/>
  <c r="F14" i="23"/>
  <c r="E14" i="23"/>
  <c r="G13" i="23"/>
  <c r="F13" i="23"/>
  <c r="E13" i="23"/>
  <c r="G15" i="22"/>
  <c r="F15" i="22"/>
  <c r="E15" i="22"/>
  <c r="G14" i="22"/>
  <c r="F14" i="22"/>
  <c r="E14" i="22"/>
  <c r="G13" i="22"/>
  <c r="F13" i="22"/>
  <c r="E13" i="22"/>
  <c r="G15" i="21"/>
  <c r="F15" i="21"/>
  <c r="E15" i="21"/>
  <c r="G14" i="21"/>
  <c r="F14" i="21"/>
  <c r="E14" i="21"/>
  <c r="G13" i="21"/>
  <c r="F13" i="21"/>
  <c r="E13" i="21"/>
  <c r="G15" i="20"/>
  <c r="F15" i="20"/>
  <c r="E15" i="20"/>
  <c r="G14" i="20"/>
  <c r="F14" i="20"/>
  <c r="E14" i="20"/>
  <c r="G13" i="20"/>
  <c r="F13" i="20"/>
  <c r="E13" i="20"/>
  <c r="G15" i="19"/>
  <c r="F15" i="19"/>
  <c r="E15" i="19"/>
  <c r="G14" i="19"/>
  <c r="F14" i="19"/>
  <c r="E14" i="19"/>
  <c r="G13" i="19"/>
  <c r="F13" i="19"/>
  <c r="E13" i="19"/>
  <c r="G15" i="18"/>
  <c r="F15" i="18"/>
  <c r="E15" i="18"/>
  <c r="G14" i="18"/>
  <c r="F14" i="18"/>
  <c r="E14" i="18"/>
  <c r="G13" i="18"/>
  <c r="F13" i="18"/>
  <c r="E13" i="18"/>
  <c r="E17" i="18" s="1"/>
  <c r="F19" i="1" s="1"/>
  <c r="G15" i="17"/>
  <c r="F15" i="17"/>
  <c r="E15" i="17"/>
  <c r="G14" i="17"/>
  <c r="F14" i="17"/>
  <c r="E14" i="17"/>
  <c r="G13" i="17"/>
  <c r="F13" i="17"/>
  <c r="E13" i="17"/>
  <c r="G15" i="16"/>
  <c r="F15" i="16"/>
  <c r="E15" i="16"/>
  <c r="G14" i="16"/>
  <c r="F14" i="16"/>
  <c r="E14" i="16"/>
  <c r="G13" i="16"/>
  <c r="F13" i="16"/>
  <c r="E13" i="16"/>
  <c r="G15" i="14"/>
  <c r="F15" i="14"/>
  <c r="E15" i="14"/>
  <c r="G14" i="14"/>
  <c r="F14" i="14"/>
  <c r="E14" i="14"/>
  <c r="G13" i="14"/>
  <c r="F13" i="14"/>
  <c r="E13" i="14"/>
  <c r="G15" i="13"/>
  <c r="F15" i="13"/>
  <c r="E15" i="13"/>
  <c r="G14" i="13"/>
  <c r="F14" i="13"/>
  <c r="E14" i="13"/>
  <c r="G13" i="13"/>
  <c r="F13" i="13"/>
  <c r="E13" i="13"/>
  <c r="G15" i="12"/>
  <c r="F15" i="12"/>
  <c r="E15" i="12"/>
  <c r="G14" i="12"/>
  <c r="F14" i="12"/>
  <c r="E14" i="12"/>
  <c r="G13" i="12"/>
  <c r="F13" i="12"/>
  <c r="E13" i="12"/>
  <c r="G15" i="10"/>
  <c r="F15" i="10"/>
  <c r="E15" i="10"/>
  <c r="G14" i="10"/>
  <c r="F14" i="10"/>
  <c r="E14" i="10"/>
  <c r="G13" i="10"/>
  <c r="F13" i="10"/>
  <c r="E13" i="10"/>
  <c r="G15" i="9"/>
  <c r="F15" i="9"/>
  <c r="E15" i="9"/>
  <c r="G14" i="9"/>
  <c r="F14" i="9"/>
  <c r="E14" i="9"/>
  <c r="G13" i="9"/>
  <c r="F13" i="9"/>
  <c r="E13" i="9"/>
  <c r="E17" i="9" s="1"/>
  <c r="F13" i="1" s="1"/>
  <c r="G15" i="8"/>
  <c r="F15" i="8"/>
  <c r="E15" i="8"/>
  <c r="G14" i="8"/>
  <c r="F14" i="8"/>
  <c r="E14" i="8"/>
  <c r="G13" i="8"/>
  <c r="F13" i="8"/>
  <c r="E13" i="8"/>
  <c r="G15" i="7"/>
  <c r="F15" i="7"/>
  <c r="E15" i="7"/>
  <c r="G14" i="7"/>
  <c r="F14" i="7"/>
  <c r="E14" i="7"/>
  <c r="G13" i="7"/>
  <c r="F13" i="7"/>
  <c r="E13" i="7"/>
  <c r="G15" i="6"/>
  <c r="F15" i="6"/>
  <c r="E15" i="6"/>
  <c r="G14" i="6"/>
  <c r="F14" i="6"/>
  <c r="E14" i="6"/>
  <c r="G13" i="6"/>
  <c r="F13" i="6"/>
  <c r="E13" i="6"/>
  <c r="G15" i="5"/>
  <c r="F15" i="5"/>
  <c r="E15" i="5"/>
  <c r="G14" i="5"/>
  <c r="F14" i="5"/>
  <c r="E14" i="5"/>
  <c r="G13" i="5"/>
  <c r="F13" i="5"/>
  <c r="E13" i="5"/>
  <c r="G15" i="4"/>
  <c r="F15" i="4"/>
  <c r="E15" i="4"/>
  <c r="G14" i="4"/>
  <c r="F14" i="4"/>
  <c r="E14" i="4"/>
  <c r="G13" i="4"/>
  <c r="F13" i="4"/>
  <c r="E13" i="4"/>
  <c r="G15" i="3"/>
  <c r="F15" i="3"/>
  <c r="E15" i="3"/>
  <c r="G14" i="3"/>
  <c r="F14" i="3"/>
  <c r="E14" i="3"/>
  <c r="G13" i="3"/>
  <c r="F13" i="3"/>
  <c r="E13" i="3"/>
  <c r="E14" i="2"/>
  <c r="F14" i="2"/>
  <c r="G14" i="2"/>
  <c r="E15" i="2"/>
  <c r="F15" i="2"/>
  <c r="G15" i="2"/>
  <c r="F13" i="2"/>
  <c r="G13" i="2"/>
  <c r="E13" i="2"/>
  <c r="E17" i="8" l="1"/>
  <c r="F9" i="1" s="1"/>
  <c r="E17" i="25"/>
  <c r="F12" i="1" s="1"/>
  <c r="E17" i="6"/>
  <c r="F7" i="1" s="1"/>
  <c r="E17" i="15"/>
  <c r="F16" i="1" s="1"/>
  <c r="E17" i="26"/>
  <c r="F2" i="1" s="1"/>
  <c r="E17" i="24"/>
  <c r="F25" i="1" s="1"/>
  <c r="E17" i="23"/>
  <c r="F24" i="1" s="1"/>
  <c r="E17" i="22"/>
  <c r="F23" i="1" s="1"/>
  <c r="E17" i="19"/>
  <c r="F20" i="1" s="1"/>
  <c r="E17" i="17"/>
  <c r="F18" i="1" s="1"/>
  <c r="E17" i="16"/>
  <c r="F17" i="1" s="1"/>
  <c r="E17" i="14"/>
  <c r="F15" i="1" s="1"/>
  <c r="E17" i="13"/>
  <c r="F14" i="1" s="1"/>
  <c r="E17" i="10"/>
  <c r="F11" i="1" s="1"/>
  <c r="E17" i="7"/>
  <c r="F8" i="1" s="1"/>
  <c r="E17" i="5"/>
  <c r="F6" i="1" s="1"/>
  <c r="E17" i="4"/>
  <c r="F5" i="1" s="1"/>
  <c r="E17" i="2"/>
  <c r="F3" i="1" s="1"/>
  <c r="E17" i="21"/>
  <c r="F22" i="1" s="1"/>
  <c r="E17" i="20"/>
  <c r="F21" i="1" s="1"/>
  <c r="E17" i="12"/>
  <c r="F10" i="1" s="1"/>
  <c r="E17" i="3"/>
  <c r="F4" i="1" s="1"/>
  <c r="F27" i="1" l="1"/>
  <c r="F26" i="1"/>
</calcChain>
</file>

<file path=xl/sharedStrings.xml><?xml version="1.0" encoding="utf-8"?>
<sst xmlns="http://schemas.openxmlformats.org/spreadsheetml/2006/main" count="669" uniqueCount="24">
  <si>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</si>
  <si>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</si>
  <si>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</si>
  <si>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</si>
  <si>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</si>
  <si>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</si>
  <si>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</si>
  <si>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</si>
  <si>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</si>
  <si>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gene1</t>
  </si>
  <si>
    <t>gene2</t>
  </si>
  <si>
    <t>gene3</t>
  </si>
  <si>
    <t>cols regulators/rows targets</t>
  </si>
  <si>
    <t>Trial</t>
  </si>
  <si>
    <t>Calculated LSE</t>
  </si>
  <si>
    <t>GRNmap LSE</t>
  </si>
  <si>
    <t>Average</t>
  </si>
  <si>
    <t>Sum</t>
  </si>
  <si>
    <t>w1</t>
  </si>
  <si>
    <t>w2</t>
  </si>
  <si>
    <t>w3</t>
  </si>
  <si>
    <t>w4</t>
  </si>
  <si>
    <t>P con</t>
  </si>
  <si>
    <t>p 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</si>
</sst>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0" borderId="0"/>
  </cellStyleXfs>
  <cellXfs count="13">
    <xf numFmtId="0" fontId="0" fillId="0" borderId="0" xfId="0"/>
    <xf numFmtId="0" fontId="3" fillId="0" borderId="0" xfId="3"/>
    <xf numFmtId="0" fontId="4" fillId="0" borderId="0" xfId="0" applyFont="1"/>
    <xf numFmtId="0" fontId="3" fillId="0" borderId="0" xfId="1"/>
    <xf numFmtId="0" fontId="2" fillId="0" borderId="0" xfId="0" applyFont="1"/>
    <xf numFmtId="0" fontId="4" fillId="0" borderId="0" xfId="3" applyFont="1"/>
    <xf numFmtId="0" fontId="5" fillId="0" borderId="0" xfId="0" applyFont="1"/>
    <xf numFmtId="2" fontId="4" fillId="0" borderId="0" xfId="0" applyNumberFormat="1" applyFont="1"/>
    <xf numFmtId="14" fontId="0" fillId="0" borderId="0" xfId="0" applyNumberFormat="1"/>
    <xf numFmtId="0" fontId="0" fillId="0" borderId="0" xfId="0"/>
    <xf numFmtId="0" fontId="3" fillId="0" borderId="0" xfId="3"/>
    <xf numFmtId="0" fontId="4" fillId="0" borderId="0" xfId="3" applyFont="1"/>
    <xf numFmtId="0" fontId="0" fillId="0" borderId="0" xfId="0" applyFill="1"/>
  </cellXfs>
  <cellStyles count="4">
    <cellStyle name="Normal" xfId="0" builtinId="0"/>
    <cellStyle name="Normal 2" xfId="3"/>
    <cellStyle name="Normal 3" xfId="2"/>
    <cellStyle name="Normal 4" xfId="1"/>
  </cellStyles>
  <dxfs count="0"/>
  <tableStyles count="0" defaultTableStyle="TableStyleMedium2" defaultPivotStyle="PivotStyleLight16"/>
  <colors>
    <mruColors>
      <color rgb="FF337C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 constant'!$B$1</c:f>
              <c:strCache>
                <c:ptCount val="1"/>
                <c:pt idx="0">
                  <c:v>Calculated LSE</c:v>
                </c:pt>
              </c:strCache>
            </c:strRef>
          </c:tx>
          <c:spPr>
            <a:solidFill>
              <a:srgbClr val="337CB7"/>
            </a:solidFill>
            <a:ln>
              <a:noFill/>
            </a:ln>
            <a:effectLst/>
          </c:spPr>
          <c:invertIfNegative val="0"/>
          <c:cat>
            <c:numRef>
              <c:f>'B constant'!$A$2:$A$25</c:f>
              <c:numCache>
                <c:formatCode>0.00</c:formatCode>
                <c:ptCount val="24"/>
                <c:pt idx="0">
                  <c:v>10.18</c:v>
                </c:pt>
                <c:pt idx="1">
                  <c:v>10.15</c:v>
                </c:pt>
                <c:pt idx="2">
                  <c:v>10.23</c:v>
                </c:pt>
                <c:pt idx="3">
                  <c:v>10.06</c:v>
                </c:pt>
                <c:pt idx="4">
                  <c:v>10.19</c:v>
                </c:pt>
                <c:pt idx="5">
                  <c:v>10.14</c:v>
                </c:pt>
                <c:pt idx="6">
                  <c:v>10.220000000000001</c:v>
                </c:pt>
                <c:pt idx="7">
                  <c:v>10.07</c:v>
                </c:pt>
                <c:pt idx="8">
                  <c:v>10.210000000000001</c:v>
                </c:pt>
                <c:pt idx="9">
                  <c:v>10.039999999999999</c:v>
                </c:pt>
                <c:pt idx="10">
                  <c:v>10.199999999999999</c:v>
                </c:pt>
                <c:pt idx="11">
                  <c:v>10.050000000000001</c:v>
                </c:pt>
                <c:pt idx="12">
                  <c:v>10.11</c:v>
                </c:pt>
                <c:pt idx="13">
                  <c:v>10.02</c:v>
                </c:pt>
                <c:pt idx="14">
                  <c:v>10.16</c:v>
                </c:pt>
                <c:pt idx="15">
                  <c:v>10.130000000000001</c:v>
                </c:pt>
                <c:pt idx="16">
                  <c:v>10.1</c:v>
                </c:pt>
                <c:pt idx="17">
                  <c:v>10.029999999999999</c:v>
                </c:pt>
                <c:pt idx="18">
                  <c:v>10.119999999999999</c:v>
                </c:pt>
                <c:pt idx="19">
                  <c:v>10.17</c:v>
                </c:pt>
                <c:pt idx="20">
                  <c:v>10</c:v>
                </c:pt>
                <c:pt idx="21">
                  <c:v>10.09</c:v>
                </c:pt>
                <c:pt idx="22">
                  <c:v>10.08</c:v>
                </c:pt>
                <c:pt idx="23">
                  <c:v>10.01</c:v>
                </c:pt>
              </c:numCache>
            </c:numRef>
          </c:cat>
          <c:val>
            <c:numRef>
              <c:f>'B constant'!$B$2:$B$25</c:f>
              <c:numCache>
                <c:formatCode>General</c:formatCode>
                <c:ptCount val="24"/>
                <c:pt idx="0">
                  <c:v>4.2373033988233845E-12</c:v>
                </c:pt>
                <c:pt idx="1">
                  <c:v>4.2373163860977959E-12</c:v>
                </c:pt>
                <c:pt idx="2">
                  <c:v>2.79544061887366E-11</c:v>
                </c:pt>
                <c:pt idx="3">
                  <c:v>2.7954499715287058E-11</c:v>
                </c:pt>
                <c:pt idx="4">
                  <c:v>5.4371682675218406E-11</c:v>
                </c:pt>
                <c:pt idx="5">
                  <c:v>5.4371707551036594E-11</c:v>
                </c:pt>
                <c:pt idx="6">
                  <c:v>6.3034321203212822E-11</c:v>
                </c:pt>
                <c:pt idx="7">
                  <c:v>6.3034389902959295E-11</c:v>
                </c:pt>
                <c:pt idx="8">
                  <c:v>7.4723471943624774E-11</c:v>
                </c:pt>
                <c:pt idx="9">
                  <c:v>7.4723897185026948E-11</c:v>
                </c:pt>
                <c:pt idx="10">
                  <c:v>8.6777580134130421E-11</c:v>
                </c:pt>
                <c:pt idx="11">
                  <c:v>8.6777842256592969E-11</c:v>
                </c:pt>
                <c:pt idx="12">
                  <c:v>1.137571492167102E-10</c:v>
                </c:pt>
                <c:pt idx="13">
                  <c:v>1.1375736054434437E-10</c:v>
                </c:pt>
                <c:pt idx="14">
                  <c:v>1.1849459940914211E-10</c:v>
                </c:pt>
                <c:pt idx="15">
                  <c:v>1.1849492590890638E-10</c:v>
                </c:pt>
                <c:pt idx="16">
                  <c:v>1.4412484827870669E-10</c:v>
                </c:pt>
                <c:pt idx="17">
                  <c:v>1.4412489633952675E-10</c:v>
                </c:pt>
                <c:pt idx="18">
                  <c:v>1.4938052893536201E-10</c:v>
                </c:pt>
                <c:pt idx="19">
                  <c:v>1.493833416714569E-10</c:v>
                </c:pt>
                <c:pt idx="20">
                  <c:v>3.6031259077816692E-8</c:v>
                </c:pt>
                <c:pt idx="21">
                  <c:v>3.6032797337879908E-8</c:v>
                </c:pt>
                <c:pt idx="22">
                  <c:v>2.5834774725060014E-5</c:v>
                </c:pt>
                <c:pt idx="23">
                  <c:v>2.5835493076410521E-5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AE6-4C22-9488-42930035D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306432"/>
        <c:axId val="30493504"/>
      </c:barChart>
      <c:catAx>
        <c:axId val="108306432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30493504"/>
        <c:crossesAt val="1.0000000000000007E-13"/>
        <c:auto val="1"/>
        <c:lblAlgn val="ctr"/>
        <c:lblOffset val="100"/>
        <c:noMultiLvlLbl val="0"/>
      </c:catAx>
      <c:valAx>
        <c:axId val="304935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3</xdr:row>
      <xdr:rowOff>52387</xdr:rowOff>
    </xdr:from>
    <xdr:to>
      <xdr:col>15</xdr:col>
      <xdr:colOff>381000</xdr:colOff>
      <xdr:row>17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6F86DA50-4012-DB17-F88E-613B20E27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R16" sqref="R16"/>
    </sheetView>
  </sheetViews>
  <sheetFormatPr defaultRowHeight="14.25"/>
  <cols>
    <col min="1" max="1" width="7.625" style="2" bestFit="1" customWidth="1"/>
    <col min="2" max="2" width="15" style="2" bestFit="1" customWidth="1"/>
    <col min="3" max="3" width="13.25" style="2" bestFit="1" customWidth="1"/>
    <col min="5" max="5" width="7.625" style="2" bestFit="1" customWidth="1"/>
    <col min="6" max="6" width="15" style="2" bestFit="1" customWidth="1"/>
    <col min="7" max="7" width="13.25" style="2" bestFit="1" customWidth="1"/>
  </cols>
  <sheetData>
    <row r="1" spans="1:7" s="4" customFormat="1" ht="15">
      <c r="A1" s="6" t="s">
        <v>13</v>
      </c>
      <c r="B1" s="6" t="s">
        <v>14</v>
      </c>
      <c r="C1" s="6" t="s">
        <v>15</v>
      </c>
      <c r="E1" s="6" t="s">
        <v>13</v>
      </c>
      <c r="F1" s="6" t="s">
        <v>14</v>
      </c>
      <c r="G1" s="6" t="s">
        <v>15</v>
      </c>
    </row>
    <row r="2" spans="1:7">
      <c r="A2" s="7">
        <v>10.18</v>
      </c>
      <c r="B2" s="12">
        <v>4.2373033988233845E-12</v>
      </c>
      <c r="C2" s="5">
        <v>2.1772708419367217E-14</v>
      </c>
      <c r="E2" s="7">
        <v>10</v>
      </c>
      <c r="F2" s="2">
        <f>'10.0'!E17</f>
        <v>3.6031259077816692E-8</v>
      </c>
      <c r="G2" s="2">
        <f>'10.0'!B3</f>
        <v>6.4058657400419E-13</v>
      </c>
    </row>
    <row r="3" spans="1:7" ht="15">
      <c r="A3" s="7">
        <v>10.15</v>
      </c>
      <c r="B3" s="12">
        <v>4.2373163860977959E-12</v>
      </c>
      <c r="C3" s="11">
        <v>2.1772764445503083E-14</v>
      </c>
      <c r="E3" s="7">
        <v>10.01</v>
      </c>
      <c r="F3" s="2">
        <f>'10.1'!E17</f>
        <v>2.5835493076410521E-5</v>
      </c>
      <c r="G3" s="2">
        <f>'10.1'!B3</f>
        <v>4.0005294290492406E-11</v>
      </c>
    </row>
    <row r="4" spans="1:7">
      <c r="A4" s="7">
        <v>10.23</v>
      </c>
      <c r="B4" s="10">
        <v>2.79544061887366E-11</v>
      </c>
      <c r="C4" s="5">
        <v>4.8702622083551986E-14</v>
      </c>
      <c r="E4" s="7">
        <v>10.02</v>
      </c>
      <c r="F4" s="2">
        <f>'10.2'!E17</f>
        <v>1.1375736054434437E-10</v>
      </c>
      <c r="G4" s="2">
        <f>'10.2'!B3</f>
        <v>6.3024508952427846E-14</v>
      </c>
    </row>
    <row r="5" spans="1:7">
      <c r="A5" s="7">
        <v>10.06</v>
      </c>
      <c r="B5" s="12">
        <v>2.7954499715287058E-11</v>
      </c>
      <c r="C5" s="11">
        <v>4.8702803364271976E-14</v>
      </c>
      <c r="E5" s="7">
        <v>10.029999999999999</v>
      </c>
      <c r="F5" s="2">
        <f>'10.3'!E17</f>
        <v>1.4412489633952675E-10</v>
      </c>
      <c r="G5" s="2">
        <f>'10.3'!B3</f>
        <v>1.2563509483178485E-13</v>
      </c>
    </row>
    <row r="6" spans="1:7">
      <c r="A6" s="7">
        <v>10.19</v>
      </c>
      <c r="B6" s="9">
        <v>5.4371682675218406E-11</v>
      </c>
      <c r="C6" s="2">
        <v>2.424051092026014E-14</v>
      </c>
      <c r="E6" s="7">
        <v>10.039999999999999</v>
      </c>
      <c r="F6" s="2">
        <f>'10.4'!E17</f>
        <v>7.4723897185026948E-11</v>
      </c>
      <c r="G6" s="2">
        <f>'10.4'!B3</f>
        <v>9.631611216887719E-14</v>
      </c>
    </row>
    <row r="7" spans="1:7">
      <c r="A7" s="7">
        <v>10.14</v>
      </c>
      <c r="B7" s="12">
        <v>5.4371707551036594E-11</v>
      </c>
      <c r="C7" s="5">
        <v>2.4240528260228112E-14</v>
      </c>
      <c r="E7" s="7">
        <v>10.050000000000001</v>
      </c>
      <c r="F7" s="2">
        <f>'10.5'!E17</f>
        <v>8.6777842256592969E-11</v>
      </c>
      <c r="G7" s="2">
        <f>'10.5'!B3</f>
        <v>1.1368111395795577E-13</v>
      </c>
    </row>
    <row r="8" spans="1:7">
      <c r="A8" s="7">
        <v>10.220000000000001</v>
      </c>
      <c r="B8" s="9">
        <v>6.3034321203212822E-11</v>
      </c>
      <c r="C8" s="5">
        <v>9.2519660025206622E-14</v>
      </c>
      <c r="E8" s="7">
        <v>10.06</v>
      </c>
      <c r="F8" s="2">
        <f>'10.6'!E17</f>
        <v>2.7954499715287058E-11</v>
      </c>
      <c r="G8" s="2">
        <f>'10.6'!B3</f>
        <v>4.8702803364271976E-14</v>
      </c>
    </row>
    <row r="9" spans="1:7">
      <c r="A9" s="7">
        <v>10.07</v>
      </c>
      <c r="B9" s="9">
        <v>6.3034389902959295E-11</v>
      </c>
      <c r="C9" s="5">
        <v>9.2519757539810808E-14</v>
      </c>
      <c r="E9" s="7">
        <v>10.07</v>
      </c>
      <c r="F9" s="2">
        <f>'10.7'!E17</f>
        <v>6.3034389902959295E-11</v>
      </c>
      <c r="G9" s="2">
        <f>'10.7'!B3</f>
        <v>9.2519757539810808E-14</v>
      </c>
    </row>
    <row r="10" spans="1:7">
      <c r="A10" s="7">
        <v>10.210000000000001</v>
      </c>
      <c r="B10" s="12">
        <v>7.4723471943624774E-11</v>
      </c>
      <c r="C10" s="5">
        <v>9.6315538175843036E-14</v>
      </c>
      <c r="E10" s="7">
        <v>10.08</v>
      </c>
      <c r="F10" s="2">
        <f>'10.8'!E17</f>
        <v>2.5834774725060014E-5</v>
      </c>
      <c r="G10" s="2">
        <f>'10.8'!B3</f>
        <v>4.0004191964928363E-11</v>
      </c>
    </row>
    <row r="11" spans="1:7">
      <c r="A11" s="7">
        <v>10.039999999999999</v>
      </c>
      <c r="B11" s="9">
        <v>7.4723897185026948E-11</v>
      </c>
      <c r="C11" s="5">
        <v>9.631611216887719E-14</v>
      </c>
      <c r="E11" s="7">
        <v>10.09</v>
      </c>
      <c r="F11" s="2">
        <f>'10.9'!E17</f>
        <v>3.6032797337879908E-8</v>
      </c>
      <c r="G11" s="2">
        <f>'10.9'!B3</f>
        <v>6.406087979637947E-13</v>
      </c>
    </row>
    <row r="12" spans="1:7">
      <c r="A12" s="7">
        <v>10.199999999999999</v>
      </c>
      <c r="B12" s="12">
        <v>8.6777580134130421E-11</v>
      </c>
      <c r="C12" s="5">
        <v>1.136807987607485E-13</v>
      </c>
      <c r="E12" s="7">
        <v>10.1</v>
      </c>
      <c r="F12" s="2">
        <f>'10.10'!E17</f>
        <v>1.4412484827870669E-10</v>
      </c>
      <c r="G12" s="2">
        <f>'10.10'!B3</f>
        <v>1.2563505704774702E-13</v>
      </c>
    </row>
    <row r="13" spans="1:7">
      <c r="A13" s="7">
        <v>10.050000000000001</v>
      </c>
      <c r="B13" s="12">
        <v>8.6777842256592969E-11</v>
      </c>
      <c r="C13" s="5">
        <v>1.1368111395795577E-13</v>
      </c>
      <c r="E13" s="7">
        <v>10.11</v>
      </c>
      <c r="F13" s="2">
        <f>'10.11'!E17</f>
        <v>1.137571492167102E-10</v>
      </c>
      <c r="G13" s="2">
        <f>'10.11'!B3</f>
        <v>6.3024314048023819E-14</v>
      </c>
    </row>
    <row r="14" spans="1:7">
      <c r="A14" s="7">
        <v>10.11</v>
      </c>
      <c r="B14" s="9">
        <v>1.137571492167102E-10</v>
      </c>
      <c r="C14" s="5">
        <v>6.3024314048023819E-14</v>
      </c>
      <c r="E14" s="7">
        <v>10.119999999999999</v>
      </c>
      <c r="F14" s="2">
        <f>'10.12'!E17</f>
        <v>1.4938052893536201E-10</v>
      </c>
      <c r="G14" s="2">
        <f>'10.12'!B3</f>
        <v>9.4766565102818429E-14</v>
      </c>
    </row>
    <row r="15" spans="1:7">
      <c r="A15" s="7">
        <v>10.02</v>
      </c>
      <c r="B15" s="9">
        <v>1.1375736054434437E-10</v>
      </c>
      <c r="C15" s="5">
        <v>6.3024508952427846E-14</v>
      </c>
      <c r="E15" s="7">
        <v>10.130000000000001</v>
      </c>
      <c r="F15" s="2">
        <f>'10.13'!E17</f>
        <v>1.1849492590890638E-10</v>
      </c>
      <c r="G15" s="2">
        <f>'10.13'!B3</f>
        <v>8.7694512169089304E-14</v>
      </c>
    </row>
    <row r="16" spans="1:7">
      <c r="A16" s="7">
        <v>10.16</v>
      </c>
      <c r="B16" s="12">
        <v>1.1849459940914211E-10</v>
      </c>
      <c r="C16" s="5">
        <v>8.7694221910829435E-14</v>
      </c>
      <c r="E16" s="7">
        <v>10.14</v>
      </c>
      <c r="F16" s="2">
        <f>'10.14'!E17</f>
        <v>5.4371707551036594E-11</v>
      </c>
      <c r="G16" s="2">
        <f>'10.14'!B3</f>
        <v>2.4240528260228112E-14</v>
      </c>
    </row>
    <row r="17" spans="1:7">
      <c r="A17" s="7">
        <v>10.130000000000001</v>
      </c>
      <c r="B17" s="9">
        <v>1.1849492590890638E-10</v>
      </c>
      <c r="C17" s="11">
        <v>8.7694512169089304E-14</v>
      </c>
      <c r="E17" s="7">
        <v>10.15</v>
      </c>
      <c r="F17" s="2">
        <f>'10.15'!E17</f>
        <v>4.2373163860977959E-12</v>
      </c>
      <c r="G17" s="2">
        <f>'10.15'!B3</f>
        <v>2.1772764445503083E-14</v>
      </c>
    </row>
    <row r="18" spans="1:7">
      <c r="A18" s="7">
        <v>10.1</v>
      </c>
      <c r="B18" s="9">
        <v>1.4412484827870669E-10</v>
      </c>
      <c r="C18" s="5">
        <v>1.2563505704774702E-13</v>
      </c>
      <c r="E18" s="7">
        <v>10.16</v>
      </c>
      <c r="F18" s="2">
        <f>'10.16'!E17</f>
        <v>1.1849459940914211E-10</v>
      </c>
      <c r="G18" s="2">
        <f>'10.16'!B3</f>
        <v>8.7694221910829435E-14</v>
      </c>
    </row>
    <row r="19" spans="1:7">
      <c r="A19" s="7">
        <v>10.029999999999999</v>
      </c>
      <c r="B19" s="9">
        <v>1.4412489633952675E-10</v>
      </c>
      <c r="C19" s="2">
        <v>1.2563509483178485E-13</v>
      </c>
      <c r="E19" s="7">
        <v>10.17</v>
      </c>
      <c r="F19" s="2">
        <f>'10.17'!E17</f>
        <v>1.493833416714569E-10</v>
      </c>
      <c r="G19" s="2">
        <f>'10.17'!B3</f>
        <v>9.4766385913137646E-14</v>
      </c>
    </row>
    <row r="20" spans="1:7">
      <c r="A20" s="7">
        <v>10.119999999999999</v>
      </c>
      <c r="B20" s="12">
        <v>1.4938052893536201E-10</v>
      </c>
      <c r="C20" s="5">
        <v>9.4766565102818429E-14</v>
      </c>
      <c r="E20" s="7">
        <v>10.18</v>
      </c>
      <c r="F20" s="2">
        <f>'10.18'!E17</f>
        <v>4.2373033988233845E-12</v>
      </c>
      <c r="G20" s="2">
        <f>'10.18'!B3</f>
        <v>2.1772708419367217E-14</v>
      </c>
    </row>
    <row r="21" spans="1:7">
      <c r="A21" s="7">
        <v>10.17</v>
      </c>
      <c r="B21" s="9">
        <v>1.493833416714569E-10</v>
      </c>
      <c r="C21" s="11">
        <v>9.4766385913137646E-14</v>
      </c>
      <c r="E21" s="7">
        <v>10.19</v>
      </c>
      <c r="F21" s="2">
        <f>'10.19'!E17</f>
        <v>5.4371682675218406E-11</v>
      </c>
      <c r="G21" s="2">
        <f>'10.19'!B3</f>
        <v>2.424051092026014E-14</v>
      </c>
    </row>
    <row r="22" spans="1:7">
      <c r="A22" s="7">
        <v>10</v>
      </c>
      <c r="B22" s="12">
        <v>3.6031259077816692E-8</v>
      </c>
      <c r="C22" s="5">
        <v>6.4058657400419E-13</v>
      </c>
      <c r="E22" s="7">
        <v>10.199999999999999</v>
      </c>
      <c r="F22" s="2">
        <f>'10.20'!E17</f>
        <v>8.6777580134130421E-11</v>
      </c>
      <c r="G22" s="2">
        <f>'10.20'!B3</f>
        <v>1.136807987607485E-13</v>
      </c>
    </row>
    <row r="23" spans="1:7">
      <c r="A23" s="7">
        <v>10.09</v>
      </c>
      <c r="B23" s="12">
        <v>3.6032797337879908E-8</v>
      </c>
      <c r="C23" s="5">
        <v>6.406087979637947E-13</v>
      </c>
      <c r="E23" s="7">
        <v>10.210000000000001</v>
      </c>
      <c r="F23" s="2">
        <f>'10.21'!E17</f>
        <v>7.4723471943624774E-11</v>
      </c>
      <c r="G23" s="2">
        <f>'10.21'!B3</f>
        <v>9.6315538175843036E-14</v>
      </c>
    </row>
    <row r="24" spans="1:7">
      <c r="A24" s="7">
        <v>10.08</v>
      </c>
      <c r="B24" s="12">
        <v>2.5834774725060014E-5</v>
      </c>
      <c r="C24" s="5">
        <v>4.0004191964928363E-11</v>
      </c>
      <c r="E24" s="7">
        <v>10.220000000000001</v>
      </c>
      <c r="F24" s="2">
        <f>'10.22'!E17</f>
        <v>6.3034321203212822E-11</v>
      </c>
      <c r="G24" s="2">
        <f>'10.22'!B3</f>
        <v>9.2519660025206622E-14</v>
      </c>
    </row>
    <row r="25" spans="1:7" ht="15">
      <c r="A25" s="7">
        <v>10.01</v>
      </c>
      <c r="B25" s="10">
        <v>2.5835493076410521E-5</v>
      </c>
      <c r="C25" s="5">
        <v>4.0005294290492406E-11</v>
      </c>
      <c r="E25" s="7">
        <v>10.23</v>
      </c>
      <c r="F25" s="2">
        <f>'10.23'!E17</f>
        <v>2.79544061887366E-11</v>
      </c>
      <c r="G25" s="2">
        <f>'10.23'!B3</f>
        <v>4.8702622083551986E-14</v>
      </c>
    </row>
    <row r="26" spans="1:7">
      <c r="A26" s="2" t="s">
        <v>16</v>
      </c>
      <c r="B26" s="2">
        <f>AVERAGE(B2:B25)</f>
        <v>2.1560002322481279E-6</v>
      </c>
      <c r="E26" s="2" t="s">
        <v>16</v>
      </c>
      <c r="F26" s="2">
        <f>AVERAGE(F2:F25)</f>
        <v>2.1560002322481283E-6</v>
      </c>
    </row>
    <row r="27" spans="1:7">
      <c r="A27" s="2" t="s">
        <v>17</v>
      </c>
      <c r="B27" s="2">
        <f>SUM(B2:B25)</f>
        <v>5.1744005573955073E-5</v>
      </c>
      <c r="E27" s="2" t="s">
        <v>17</v>
      </c>
      <c r="F27" s="2">
        <f>SUM(F2:F25)</f>
        <v>5.174400557395508E-5</v>
      </c>
    </row>
  </sheetData>
  <sortState ref="A2:C25">
    <sortCondition ref="B2:B25"/>
  </sortState>
  <printOptions gridLines="1"/>
  <pageMargins left="0.7" right="0.7" top="0.75" bottom="0.75" header="0.3" footer="0.3"/>
  <pageSetup orientation="portrait" r:id="rId1"/>
  <headerFooter>
    <oddHeader>&amp;A</oddHeader>
    <oddFooter>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2" sqref="D2:G5"/>
    </sheetView>
  </sheetViews>
  <sheetFormatPr defaultRowHeight="14.25"/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4.8702622083551986E-14</v>
      </c>
      <c r="D3" s="9" t="s">
        <v>9</v>
      </c>
      <c r="E3" s="9">
        <v>0</v>
      </c>
      <c r="F3" s="9">
        <v>-1.000000414340614</v>
      </c>
      <c r="G3" s="9">
        <v>-1.9999970575285726</v>
      </c>
    </row>
    <row r="4" spans="1:7">
      <c r="A4" s="9" t="s">
        <v>3</v>
      </c>
      <c r="B4" s="9">
        <v>1.4285671166331242</v>
      </c>
      <c r="D4" s="9" t="s">
        <v>10</v>
      </c>
      <c r="E4" s="9">
        <v>0.99999877495486145</v>
      </c>
      <c r="F4" s="9">
        <v>0</v>
      </c>
      <c r="G4" s="9">
        <v>0</v>
      </c>
    </row>
    <row r="5" spans="1:7">
      <c r="A5" s="9" t="s">
        <v>4</v>
      </c>
      <c r="B5" s="9">
        <v>0</v>
      </c>
      <c r="D5" s="9" t="s">
        <v>11</v>
      </c>
      <c r="E5" s="9">
        <v>1.999995801922541</v>
      </c>
      <c r="F5" s="9">
        <v>0</v>
      </c>
      <c r="G5" s="9">
        <v>0</v>
      </c>
    </row>
    <row r="6" spans="1:7">
      <c r="A6" s="9" t="s">
        <v>5</v>
      </c>
      <c r="B6" s="9">
        <v>138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1.1609809814044845E-13</v>
      </c>
      <c r="D9" s="5" t="s">
        <v>9</v>
      </c>
      <c r="E9" s="5">
        <v>0</v>
      </c>
      <c r="F9" s="5">
        <v>-1</v>
      </c>
      <c r="G9" s="5">
        <v>-2</v>
      </c>
    </row>
    <row r="10" spans="1:7">
      <c r="A10" s="9" t="s">
        <v>10</v>
      </c>
      <c r="B10" s="9">
        <v>3.3102855468170954E-15</v>
      </c>
      <c r="D10" s="5" t="s">
        <v>10</v>
      </c>
      <c r="E10" s="5">
        <v>1</v>
      </c>
      <c r="F10" s="5">
        <v>0</v>
      </c>
      <c r="G10" s="5">
        <v>0</v>
      </c>
    </row>
    <row r="11" spans="1:7">
      <c r="A11" s="9" t="s">
        <v>11</v>
      </c>
      <c r="B11" s="9">
        <v>2.6699482563390408E-14</v>
      </c>
      <c r="D11" s="5" t="s">
        <v>11</v>
      </c>
      <c r="E11" s="5">
        <v>2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1.7167814444396308E-13</v>
      </c>
      <c r="G13">
        <f t="shared" si="0"/>
        <v>8.6581381010824177E-12</v>
      </c>
    </row>
    <row r="14" spans="1:7">
      <c r="E14">
        <f t="shared" ref="E14:G15" si="1">(E10-E4)^2</f>
        <v>1.5007355914927043E-12</v>
      </c>
      <c r="F14">
        <f t="shared" si="1"/>
        <v>0</v>
      </c>
      <c r="G14">
        <f t="shared" si="1"/>
        <v>0</v>
      </c>
    </row>
    <row r="15" spans="1:7">
      <c r="E15">
        <f>(E11-E5)^2</f>
        <v>1.7623854351717514E-11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2.79544061887366E-11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9.2519660025206622E-14</v>
      </c>
      <c r="D3" s="9" t="s">
        <v>9</v>
      </c>
      <c r="E3" s="9">
        <v>0</v>
      </c>
      <c r="F3" s="9">
        <v>-1.999996831813295</v>
      </c>
      <c r="G3" s="9">
        <v>0.99999628883635394</v>
      </c>
    </row>
    <row r="4" spans="1:7">
      <c r="A4" s="9" t="s">
        <v>3</v>
      </c>
      <c r="B4" s="9">
        <v>1.4285645823083988</v>
      </c>
      <c r="D4" s="9" t="s">
        <v>10</v>
      </c>
      <c r="E4" s="9">
        <v>1.9999947510844802</v>
      </c>
      <c r="F4" s="9">
        <v>0</v>
      </c>
      <c r="G4" s="9">
        <v>0</v>
      </c>
    </row>
    <row r="5" spans="1:7">
      <c r="A5" s="9" t="s">
        <v>4</v>
      </c>
      <c r="B5" s="9">
        <v>9.8765638173704394E-35</v>
      </c>
      <c r="D5" s="9" t="s">
        <v>11</v>
      </c>
      <c r="E5" s="9">
        <v>-0.99999658341333142</v>
      </c>
      <c r="F5" s="9">
        <v>0</v>
      </c>
      <c r="G5" s="9">
        <v>0</v>
      </c>
    </row>
    <row r="6" spans="1:7">
      <c r="A6" s="9" t="s">
        <v>5</v>
      </c>
      <c r="B6" s="9">
        <v>130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2.4346016417865193E-13</v>
      </c>
      <c r="D9" s="5" t="s">
        <v>9</v>
      </c>
      <c r="E9" s="5">
        <v>0</v>
      </c>
      <c r="F9" s="5">
        <v>-2</v>
      </c>
      <c r="G9" s="5">
        <v>1</v>
      </c>
    </row>
    <row r="10" spans="1:7">
      <c r="A10" s="9" t="s">
        <v>10</v>
      </c>
      <c r="B10" s="9">
        <v>1.5763664479734915E-14</v>
      </c>
      <c r="D10" s="5" t="s">
        <v>10</v>
      </c>
      <c r="E10" s="5">
        <v>2</v>
      </c>
      <c r="F10" s="5">
        <v>0</v>
      </c>
      <c r="G10" s="5">
        <v>0</v>
      </c>
    </row>
    <row r="11" spans="1:7">
      <c r="A11" s="9" t="s">
        <v>11</v>
      </c>
      <c r="B11" s="9">
        <v>1.8335151417233032E-14</v>
      </c>
      <c r="D11" s="5" t="s">
        <v>11</v>
      </c>
      <c r="E11" s="5">
        <v>-1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1.0037406997628791E-11</v>
      </c>
      <c r="G13">
        <f t="shared" si="0"/>
        <v>1.3772735607826232E-11</v>
      </c>
    </row>
    <row r="14" spans="1:7">
      <c r="E14">
        <f t="shared" ref="E14:G15" si="1">(E10-E4)^2</f>
        <v>2.7551114133832984E-11</v>
      </c>
      <c r="F14">
        <f t="shared" si="1"/>
        <v>0</v>
      </c>
      <c r="G14">
        <f t="shared" si="1"/>
        <v>0</v>
      </c>
    </row>
    <row r="15" spans="1:7">
      <c r="E15">
        <f>(E11-E5)^2</f>
        <v>1.1673064463924815E-11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6.3034321203212822E-11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D2" sqref="D2:G5"/>
    </sheetView>
  </sheetViews>
  <sheetFormatPr defaultRowHeight="14.25"/>
  <sheetData>
    <row r="1" spans="1:11" ht="15">
      <c r="A1" s="3" t="s">
        <v>23</v>
      </c>
    </row>
    <row r="2" spans="1:11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11">
      <c r="A3" s="9" t="s">
        <v>2</v>
      </c>
      <c r="B3" s="9">
        <v>9.6315538175843036E-14</v>
      </c>
      <c r="D3" s="9" t="s">
        <v>9</v>
      </c>
      <c r="E3" s="9">
        <v>0</v>
      </c>
      <c r="F3" s="9">
        <v>0.99999660602169183</v>
      </c>
      <c r="G3" s="9">
        <v>1.9999925855101677</v>
      </c>
    </row>
    <row r="4" spans="1:11">
      <c r="A4" s="9" t="s">
        <v>3</v>
      </c>
      <c r="B4" s="9">
        <v>1.4285643911710719</v>
      </c>
      <c r="D4" s="9" t="s">
        <v>10</v>
      </c>
      <c r="E4" s="9">
        <v>-0.99999860092753801</v>
      </c>
      <c r="F4" s="9">
        <v>0</v>
      </c>
      <c r="G4" s="9">
        <v>0</v>
      </c>
    </row>
    <row r="5" spans="1:11">
      <c r="A5" s="9" t="s">
        <v>4</v>
      </c>
      <c r="B5" s="9">
        <v>0</v>
      </c>
      <c r="D5" s="9" t="s">
        <v>11</v>
      </c>
      <c r="E5" s="9">
        <v>-1.9999974955399864</v>
      </c>
      <c r="F5" s="9">
        <v>0</v>
      </c>
      <c r="G5" s="9">
        <v>0</v>
      </c>
    </row>
    <row r="6" spans="1:11">
      <c r="A6" s="9" t="s">
        <v>5</v>
      </c>
      <c r="B6" s="9">
        <v>130</v>
      </c>
    </row>
    <row r="7" spans="1:11">
      <c r="A7" s="9" t="s">
        <v>6</v>
      </c>
      <c r="B7" s="9"/>
    </row>
    <row r="8" spans="1:11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11">
      <c r="A9" s="9" t="s">
        <v>9</v>
      </c>
      <c r="B9" s="9">
        <v>6.0015373575411767E-14</v>
      </c>
      <c r="D9" s="5" t="s">
        <v>9</v>
      </c>
      <c r="E9" s="5">
        <v>0</v>
      </c>
      <c r="F9" s="5">
        <v>1</v>
      </c>
      <c r="G9" s="5">
        <v>2</v>
      </c>
      <c r="I9" s="5"/>
      <c r="J9" s="5"/>
      <c r="K9" s="5"/>
    </row>
    <row r="10" spans="1:11">
      <c r="A10" s="9" t="s">
        <v>10</v>
      </c>
      <c r="B10" s="9">
        <v>7.1012385361179434E-14</v>
      </c>
      <c r="D10" s="5" t="s">
        <v>10</v>
      </c>
      <c r="E10" s="5">
        <v>-1</v>
      </c>
      <c r="F10" s="5">
        <v>0</v>
      </c>
      <c r="G10" s="5">
        <v>0</v>
      </c>
      <c r="I10" s="5"/>
      <c r="J10" s="5"/>
      <c r="K10" s="5"/>
    </row>
    <row r="11" spans="1:11">
      <c r="A11" s="9" t="s">
        <v>11</v>
      </c>
      <c r="B11" s="9">
        <v>1.5791885559093791E-13</v>
      </c>
      <c r="D11" s="5" t="s">
        <v>11</v>
      </c>
      <c r="E11" s="5">
        <v>-2</v>
      </c>
      <c r="F11" s="5">
        <v>0</v>
      </c>
      <c r="G11" s="5">
        <v>0</v>
      </c>
      <c r="I11" s="5"/>
      <c r="J11" s="5"/>
      <c r="K11" s="5"/>
    </row>
    <row r="13" spans="1:11">
      <c r="E13">
        <f>(E9-E3)^2</f>
        <v>0</v>
      </c>
      <c r="F13">
        <f t="shared" ref="F13:G13" si="0">(F9-F3)^2</f>
        <v>1.1519088756361717E-11</v>
      </c>
      <c r="G13">
        <f t="shared" si="0"/>
        <v>5.497465947364685E-11</v>
      </c>
    </row>
    <row r="14" spans="1:11">
      <c r="E14">
        <f t="shared" ref="E14:G15" si="1">(E10-E4)^2</f>
        <v>1.9574037539096416E-12</v>
      </c>
      <c r="F14">
        <f t="shared" si="1"/>
        <v>0</v>
      </c>
      <c r="G14">
        <f t="shared" si="1"/>
        <v>0</v>
      </c>
    </row>
    <row r="15" spans="1:11">
      <c r="E15">
        <f>(E11-E5)^2</f>
        <v>6.2723199597065562E-12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7.4723471943624774E-11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1.136807987607485E-13</v>
      </c>
      <c r="D3" s="9" t="s">
        <v>9</v>
      </c>
      <c r="E3" s="9">
        <v>0</v>
      </c>
      <c r="F3" s="9">
        <v>1.9999929966658452</v>
      </c>
      <c r="G3" s="9">
        <v>-0.99999736291947994</v>
      </c>
    </row>
    <row r="4" spans="1:7">
      <c r="A4" s="9" t="s">
        <v>3</v>
      </c>
      <c r="B4" s="9">
        <v>1.4285631765497531</v>
      </c>
      <c r="D4" s="9" t="s">
        <v>10</v>
      </c>
      <c r="E4" s="9">
        <v>-1.9999946994057223</v>
      </c>
      <c r="F4" s="9">
        <v>0</v>
      </c>
      <c r="G4" s="9">
        <v>0</v>
      </c>
    </row>
    <row r="5" spans="1:7">
      <c r="A5" s="9" t="s">
        <v>4</v>
      </c>
      <c r="B5" s="9">
        <v>0</v>
      </c>
      <c r="D5" s="9" t="s">
        <v>11</v>
      </c>
      <c r="E5" s="9">
        <v>0.99999836280804921</v>
      </c>
      <c r="F5" s="9">
        <v>0</v>
      </c>
      <c r="G5" s="9">
        <v>0</v>
      </c>
    </row>
    <row r="6" spans="1:7">
      <c r="A6" s="9" t="s">
        <v>5</v>
      </c>
      <c r="B6" s="9">
        <v>122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2.7527757764999233E-14</v>
      </c>
      <c r="D9" s="5" t="s">
        <v>9</v>
      </c>
      <c r="E9" s="5">
        <v>0</v>
      </c>
      <c r="F9" s="5">
        <v>2</v>
      </c>
      <c r="G9" s="5">
        <v>-1</v>
      </c>
    </row>
    <row r="10" spans="1:7">
      <c r="A10" s="9" t="s">
        <v>10</v>
      </c>
      <c r="B10" s="9">
        <v>3.0452469250538467E-13</v>
      </c>
      <c r="D10" s="5" t="s">
        <v>10</v>
      </c>
      <c r="E10" s="5">
        <v>-2</v>
      </c>
      <c r="F10" s="5">
        <v>0</v>
      </c>
      <c r="G10" s="5">
        <v>0</v>
      </c>
    </row>
    <row r="11" spans="1:7">
      <c r="A11" s="9" t="s">
        <v>11</v>
      </c>
      <c r="B11" s="9">
        <v>8.9899460118616187E-15</v>
      </c>
      <c r="D11" s="5" t="s">
        <v>11</v>
      </c>
      <c r="E11" s="5">
        <v>1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4.9046689284073277E-11</v>
      </c>
      <c r="G13">
        <f t="shared" si="0"/>
        <v>6.9541936692937276E-12</v>
      </c>
    </row>
    <row r="14" spans="1:7">
      <c r="E14">
        <f t="shared" ref="E14:G15" si="1">(E10-E4)^2</f>
        <v>2.8096299697040437E-11</v>
      </c>
      <c r="F14">
        <f t="shared" si="1"/>
        <v>0</v>
      </c>
      <c r="G14">
        <f t="shared" si="1"/>
        <v>0</v>
      </c>
    </row>
    <row r="15" spans="1:7">
      <c r="E15">
        <f>(E11-E5)^2</f>
        <v>2.6803974837229725E-12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8.6777580134130421E-11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2.424051092026014E-14</v>
      </c>
      <c r="D3" s="9" t="s">
        <v>9</v>
      </c>
      <c r="E3" s="9">
        <v>0</v>
      </c>
      <c r="F3" s="9">
        <v>-1.0000008941924037</v>
      </c>
      <c r="G3" s="9">
        <v>1.0000000652150336</v>
      </c>
    </row>
    <row r="4" spans="1:7">
      <c r="A4" s="9" t="s">
        <v>3</v>
      </c>
      <c r="B4" s="9">
        <v>1.4285667157450377</v>
      </c>
      <c r="D4" s="9" t="s">
        <v>10</v>
      </c>
      <c r="E4" s="9">
        <v>-1.999998419032494</v>
      </c>
      <c r="F4" s="9">
        <v>0</v>
      </c>
      <c r="G4" s="9">
        <v>0</v>
      </c>
    </row>
    <row r="5" spans="1:7">
      <c r="A5" s="9" t="s">
        <v>4</v>
      </c>
      <c r="B5" s="9">
        <v>1.5802502107792703E-33</v>
      </c>
      <c r="D5" s="9" t="s">
        <v>11</v>
      </c>
      <c r="E5" s="9">
        <v>1.9999928537848224</v>
      </c>
      <c r="F5" s="9">
        <v>0</v>
      </c>
      <c r="G5" s="9">
        <v>0</v>
      </c>
    </row>
    <row r="6" spans="1:7">
      <c r="A6" s="9" t="s">
        <v>5</v>
      </c>
      <c r="B6" s="9">
        <v>171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6.7580644178601159E-17</v>
      </c>
      <c r="D9" s="5" t="s">
        <v>9</v>
      </c>
      <c r="E9" s="5">
        <v>0</v>
      </c>
      <c r="F9" s="5">
        <v>-1</v>
      </c>
      <c r="G9" s="5">
        <v>1</v>
      </c>
    </row>
    <row r="10" spans="1:7">
      <c r="A10" s="9" t="s">
        <v>10</v>
      </c>
      <c r="B10" s="9">
        <v>5.0708474115114E-14</v>
      </c>
      <c r="D10" s="5" t="s">
        <v>10</v>
      </c>
      <c r="E10" s="5">
        <v>-2</v>
      </c>
      <c r="F10" s="5">
        <v>0</v>
      </c>
      <c r="G10" s="5">
        <v>0</v>
      </c>
    </row>
    <row r="11" spans="1:7">
      <c r="A11" s="9" t="s">
        <v>11</v>
      </c>
      <c r="B11" s="9">
        <v>2.1945478001487827E-14</v>
      </c>
      <c r="D11" s="5" t="s">
        <v>11</v>
      </c>
      <c r="E11" s="5">
        <v>2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7.9958005479473681E-13</v>
      </c>
      <c r="G13">
        <f t="shared" si="0"/>
        <v>4.2530006068723828E-15</v>
      </c>
    </row>
    <row r="14" spans="1:7">
      <c r="E14">
        <f t="shared" ref="E14:G15" si="1">(E10-E4)^2</f>
        <v>2.499458255093532E-12</v>
      </c>
      <c r="F14">
        <f t="shared" si="1"/>
        <v>0</v>
      </c>
      <c r="G14">
        <f t="shared" si="1"/>
        <v>0</v>
      </c>
    </row>
    <row r="15" spans="1:7">
      <c r="E15">
        <f>(E11-E5)^2</f>
        <v>5.1068391364723267E-11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5.4371682675218406E-11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D2" sqref="D2:G5"/>
    </sheetView>
  </sheetViews>
  <sheetFormatPr defaultRowHeight="14.25"/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2.1772708419367217E-14</v>
      </c>
      <c r="D3" s="9" t="s">
        <v>9</v>
      </c>
      <c r="E3" s="9">
        <v>0</v>
      </c>
      <c r="F3" s="9">
        <v>0.9999995390492219</v>
      </c>
      <c r="G3" s="9">
        <v>-1.9999985125870159</v>
      </c>
    </row>
    <row r="4" spans="1:7">
      <c r="A4" s="9" t="s">
        <v>3</v>
      </c>
      <c r="B4" s="9">
        <v>1.4285696941487702</v>
      </c>
      <c r="D4" s="9" t="s">
        <v>10</v>
      </c>
      <c r="E4" s="9">
        <v>1.9999986548805466</v>
      </c>
      <c r="F4" s="9">
        <v>0</v>
      </c>
      <c r="G4" s="9">
        <v>0</v>
      </c>
    </row>
    <row r="5" spans="1:7">
      <c r="A5" s="9" t="s">
        <v>4</v>
      </c>
      <c r="B5" s="9">
        <v>1.5802502107792703E-33</v>
      </c>
      <c r="D5" s="9" t="s">
        <v>11</v>
      </c>
      <c r="E5" s="9">
        <v>-1.0000000555342221</v>
      </c>
      <c r="F5" s="9">
        <v>0</v>
      </c>
      <c r="G5" s="9">
        <v>0</v>
      </c>
    </row>
    <row r="6" spans="1:7">
      <c r="A6" s="9" t="s">
        <v>5</v>
      </c>
      <c r="B6" s="9">
        <v>125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2.1394998088736376E-14</v>
      </c>
      <c r="D9" s="5" t="s">
        <v>9</v>
      </c>
      <c r="E9" s="5">
        <v>0</v>
      </c>
      <c r="F9" s="5">
        <v>1</v>
      </c>
      <c r="G9" s="5">
        <v>-2</v>
      </c>
    </row>
    <row r="10" spans="1:7">
      <c r="A10" s="9" t="s">
        <v>10</v>
      </c>
      <c r="B10" s="9">
        <v>2.8115634380162223E-14</v>
      </c>
      <c r="D10" s="5" t="s">
        <v>10</v>
      </c>
      <c r="E10" s="5">
        <v>2</v>
      </c>
      <c r="F10" s="5">
        <v>0</v>
      </c>
      <c r="G10" s="5">
        <v>0</v>
      </c>
    </row>
    <row r="11" spans="1:7">
      <c r="A11" s="9" t="s">
        <v>11</v>
      </c>
      <c r="B11" s="9">
        <v>1.5807492789203048E-14</v>
      </c>
      <c r="D11" s="5" t="s">
        <v>11</v>
      </c>
      <c r="E11" s="5">
        <v>-1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2.1247561983359513E-13</v>
      </c>
      <c r="G13">
        <f t="shared" si="0"/>
        <v>2.2123973853096938E-12</v>
      </c>
    </row>
    <row r="14" spans="1:7">
      <c r="E14">
        <f t="shared" ref="E14:G15" si="1">(E10-E4)^2</f>
        <v>1.8093463438547551E-12</v>
      </c>
      <c r="F14">
        <f t="shared" si="1"/>
        <v>0</v>
      </c>
      <c r="G14">
        <f t="shared" si="1"/>
        <v>0</v>
      </c>
    </row>
    <row r="15" spans="1:7">
      <c r="E15">
        <f>(E11-E5)^2</f>
        <v>3.0840498253404599E-15</v>
      </c>
      <c r="F15">
        <f t="shared" si="1"/>
        <v>0</v>
      </c>
      <c r="G15">
        <f t="shared" si="1"/>
        <v>0</v>
      </c>
    </row>
    <row r="17" spans="4:5" ht="15">
      <c r="E17" s="4">
        <f>SUM(E13:G15)</f>
        <v>4.2373033988233845E-12</v>
      </c>
    </row>
    <row r="20" spans="4:5">
      <c r="D20" s="8"/>
    </row>
    <row r="21" spans="4:5">
      <c r="D21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G23" sqref="G23"/>
    </sheetView>
  </sheetViews>
  <sheetFormatPr defaultRowHeight="14.25"/>
  <cols>
    <col min="5" max="5" width="12.25" bestFit="1" customWidth="1"/>
  </cols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9.4766385913137646E-14</v>
      </c>
      <c r="D3" s="9" t="s">
        <v>9</v>
      </c>
      <c r="E3" s="9">
        <v>0</v>
      </c>
      <c r="F3" s="9">
        <v>-1.9999897597963341</v>
      </c>
      <c r="G3" s="9">
        <v>1.9999934752693165</v>
      </c>
    </row>
    <row r="4" spans="1:7">
      <c r="A4" s="9" t="s">
        <v>3</v>
      </c>
      <c r="B4" s="9">
        <v>1.4285616961171463</v>
      </c>
      <c r="D4" s="9" t="s">
        <v>10</v>
      </c>
      <c r="E4" s="9">
        <v>-1.0000006836227784</v>
      </c>
      <c r="F4" s="9">
        <v>0</v>
      </c>
      <c r="G4" s="9">
        <v>0</v>
      </c>
    </row>
    <row r="5" spans="1:7">
      <c r="A5" s="9" t="s">
        <v>4</v>
      </c>
      <c r="B5" s="9">
        <v>0</v>
      </c>
      <c r="D5" s="9" t="s">
        <v>11</v>
      </c>
      <c r="E5" s="9">
        <v>0.99999878257650898</v>
      </c>
      <c r="F5" s="9">
        <v>0</v>
      </c>
      <c r="G5" s="9">
        <v>0</v>
      </c>
    </row>
    <row r="6" spans="1:7">
      <c r="A6" s="9" t="s">
        <v>5</v>
      </c>
      <c r="B6" s="9">
        <v>194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1.5751092839752343E-13</v>
      </c>
      <c r="D9" s="5" t="s">
        <v>9</v>
      </c>
      <c r="E9" s="5">
        <v>0</v>
      </c>
      <c r="F9" s="5">
        <v>-2</v>
      </c>
      <c r="G9" s="5">
        <v>2</v>
      </c>
    </row>
    <row r="10" spans="1:7">
      <c r="A10" s="9" t="s">
        <v>10</v>
      </c>
      <c r="B10" s="9">
        <v>9.9014531349024487E-14</v>
      </c>
      <c r="D10" s="5" t="s">
        <v>10</v>
      </c>
      <c r="E10" s="5">
        <v>-1</v>
      </c>
      <c r="F10" s="5">
        <v>0</v>
      </c>
      <c r="G10" s="5">
        <v>0</v>
      </c>
    </row>
    <row r="11" spans="1:7">
      <c r="A11" s="9" t="s">
        <v>11</v>
      </c>
      <c r="B11" s="9">
        <v>2.7773697992865019E-14</v>
      </c>
      <c r="D11" s="5" t="s">
        <v>11</v>
      </c>
      <c r="E11" s="5">
        <v>1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1.0486177111936088E-10</v>
      </c>
      <c r="G13">
        <f t="shared" si="0"/>
        <v>4.2572110492486158E-11</v>
      </c>
    </row>
    <row r="14" spans="1:7">
      <c r="E14">
        <f t="shared" ref="E14:G15" si="1">(E10-E4)^2</f>
        <v>4.6734010312783805E-13</v>
      </c>
      <c r="F14">
        <f t="shared" si="1"/>
        <v>0</v>
      </c>
      <c r="G14">
        <f t="shared" si="1"/>
        <v>0</v>
      </c>
    </row>
    <row r="15" spans="1:7">
      <c r="E15">
        <f>(E11-E5)^2</f>
        <v>1.4821199564820471E-12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1.493833416714569E-10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8.7694221910829435E-14</v>
      </c>
      <c r="D3" s="9" t="s">
        <v>9</v>
      </c>
      <c r="E3" s="9">
        <v>0</v>
      </c>
      <c r="F3" s="9">
        <v>1.9999912284681467</v>
      </c>
      <c r="G3" s="9">
        <v>-0.99999388951800461</v>
      </c>
    </row>
    <row r="4" spans="1:7">
      <c r="A4" s="9" t="s">
        <v>3</v>
      </c>
      <c r="B4" s="9">
        <v>1.4285638482987781</v>
      </c>
      <c r="D4" s="9" t="s">
        <v>10</v>
      </c>
      <c r="E4" s="9">
        <v>0.99999799318244942</v>
      </c>
      <c r="F4" s="9">
        <v>0</v>
      </c>
      <c r="G4" s="9">
        <v>0</v>
      </c>
    </row>
    <row r="5" spans="1:7">
      <c r="A5" s="9" t="s">
        <v>4</v>
      </c>
      <c r="B5" s="9">
        <v>0</v>
      </c>
      <c r="D5" s="9" t="s">
        <v>11</v>
      </c>
      <c r="E5" s="9">
        <v>-1.9999995646593767</v>
      </c>
      <c r="F5" s="9">
        <v>0</v>
      </c>
      <c r="G5" s="9">
        <v>0</v>
      </c>
    </row>
    <row r="6" spans="1:7">
      <c r="A6" s="9" t="s">
        <v>5</v>
      </c>
      <c r="B6" s="9">
        <v>187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1.2086545431558197E-13</v>
      </c>
      <c r="D9" s="5" t="s">
        <v>9</v>
      </c>
      <c r="E9" s="5">
        <v>0</v>
      </c>
      <c r="F9" s="5">
        <v>2</v>
      </c>
      <c r="G9" s="5">
        <v>-1</v>
      </c>
    </row>
    <row r="10" spans="1:7">
      <c r="A10" s="9" t="s">
        <v>10</v>
      </c>
      <c r="B10" s="9">
        <v>1.3130772464882609E-14</v>
      </c>
      <c r="D10" s="5" t="s">
        <v>10</v>
      </c>
      <c r="E10" s="5">
        <v>1</v>
      </c>
      <c r="F10" s="5">
        <v>0</v>
      </c>
      <c r="G10" s="5">
        <v>0</v>
      </c>
    </row>
    <row r="11" spans="1:7">
      <c r="A11" s="9" t="s">
        <v>11</v>
      </c>
      <c r="B11" s="9">
        <v>1.2908643895202375E-13</v>
      </c>
      <c r="D11" s="5" t="s">
        <v>11</v>
      </c>
      <c r="E11" s="5">
        <v>-2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7.693977105349426E-11</v>
      </c>
      <c r="G13">
        <f t="shared" si="0"/>
        <v>3.7337990216005628E-11</v>
      </c>
    </row>
    <row r="14" spans="1:7">
      <c r="E14">
        <f t="shared" ref="E14:G15" si="1">(E10-E4)^2</f>
        <v>4.0273166813224524E-12</v>
      </c>
      <c r="F14">
        <f t="shared" si="1"/>
        <v>0</v>
      </c>
      <c r="G14">
        <f t="shared" si="1"/>
        <v>0</v>
      </c>
    </row>
    <row r="15" spans="1:7">
      <c r="E15">
        <f>(E11-E5)^2</f>
        <v>1.8952145831976232E-13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1.1849459940914211E-10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G25" sqref="G25"/>
    </sheetView>
  </sheetViews>
  <sheetFormatPr defaultRowHeight="14.25"/>
  <cols>
    <col min="5" max="5" width="12.25" bestFit="1" customWidth="1"/>
  </cols>
  <sheetData>
    <row r="1" spans="1:11" ht="15">
      <c r="A1" s="3" t="s">
        <v>23</v>
      </c>
    </row>
    <row r="2" spans="1:11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11">
      <c r="A3" s="9" t="s">
        <v>2</v>
      </c>
      <c r="B3" s="9">
        <v>2.1772764445503083E-14</v>
      </c>
      <c r="D3" s="9" t="s">
        <v>9</v>
      </c>
      <c r="E3" s="9">
        <v>0</v>
      </c>
      <c r="F3" s="9">
        <v>-1.9999985125848179</v>
      </c>
      <c r="G3" s="9">
        <v>0.99999953904870231</v>
      </c>
    </row>
    <row r="4" spans="1:11">
      <c r="A4" s="9" t="s">
        <v>3</v>
      </c>
      <c r="B4" s="9">
        <v>1.4285696941461552</v>
      </c>
      <c r="D4" s="9" t="s">
        <v>10</v>
      </c>
      <c r="E4" s="9">
        <v>-1.0000000555344066</v>
      </c>
      <c r="F4" s="9">
        <v>0</v>
      </c>
      <c r="G4" s="9">
        <v>0</v>
      </c>
    </row>
    <row r="5" spans="1:11">
      <c r="A5" s="9" t="s">
        <v>4</v>
      </c>
      <c r="B5" s="9">
        <v>1.5802502107792703E-33</v>
      </c>
      <c r="D5" s="9" t="s">
        <v>11</v>
      </c>
      <c r="E5" s="9">
        <v>1.9999986548783353</v>
      </c>
      <c r="F5" s="9">
        <v>0</v>
      </c>
      <c r="G5" s="9">
        <v>0</v>
      </c>
    </row>
    <row r="6" spans="1:11">
      <c r="A6" s="9" t="s">
        <v>5</v>
      </c>
      <c r="B6" s="9">
        <v>125</v>
      </c>
    </row>
    <row r="7" spans="1:11">
      <c r="A7" s="9" t="s">
        <v>6</v>
      </c>
      <c r="B7" s="9"/>
    </row>
    <row r="8" spans="1:11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11">
      <c r="A9" s="9" t="s">
        <v>9</v>
      </c>
      <c r="B9" s="9">
        <v>2.139505789215632E-14</v>
      </c>
      <c r="D9" s="5" t="s">
        <v>9</v>
      </c>
      <c r="E9" s="5">
        <v>0</v>
      </c>
      <c r="F9" s="5">
        <v>-2</v>
      </c>
      <c r="G9" s="5">
        <v>1</v>
      </c>
      <c r="I9" s="5"/>
      <c r="J9" s="5"/>
      <c r="K9" s="5"/>
    </row>
    <row r="10" spans="1:11">
      <c r="A10" s="9" t="s">
        <v>10</v>
      </c>
      <c r="B10" s="9">
        <v>1.5807532317903763E-14</v>
      </c>
      <c r="D10" s="5" t="s">
        <v>10</v>
      </c>
      <c r="E10" s="5">
        <v>-1</v>
      </c>
      <c r="F10" s="5">
        <v>0</v>
      </c>
      <c r="G10" s="5">
        <v>0</v>
      </c>
      <c r="I10" s="5"/>
      <c r="J10" s="5"/>
      <c r="K10" s="5"/>
    </row>
    <row r="11" spans="1:11">
      <c r="A11" s="9" t="s">
        <v>11</v>
      </c>
      <c r="B11" s="9">
        <v>2.8115703126449173E-14</v>
      </c>
      <c r="D11" s="5" t="s">
        <v>11</v>
      </c>
      <c r="E11" s="5">
        <v>2</v>
      </c>
      <c r="F11" s="5">
        <v>0</v>
      </c>
      <c r="G11" s="5">
        <v>0</v>
      </c>
      <c r="I11" s="5"/>
      <c r="J11" s="5"/>
      <c r="K11" s="5"/>
    </row>
    <row r="13" spans="1:11">
      <c r="E13">
        <f>(E9-E3)^2</f>
        <v>0</v>
      </c>
      <c r="F13">
        <f t="shared" ref="F13:G13" si="0">(F9-F3)^2</f>
        <v>2.2124039240401437E-12</v>
      </c>
      <c r="G13">
        <f t="shared" si="0"/>
        <v>2.1247609883950949E-13</v>
      </c>
    </row>
    <row r="14" spans="1:11">
      <c r="E14">
        <f t="shared" ref="E14:G15" si="1">(E10-E4)^2</f>
        <v>3.0840703196201737E-15</v>
      </c>
      <c r="F14">
        <f t="shared" si="1"/>
        <v>0</v>
      </c>
      <c r="G14">
        <f t="shared" si="1"/>
        <v>0</v>
      </c>
    </row>
    <row r="15" spans="1:11">
      <c r="E15">
        <f>(E11-E5)^2</f>
        <v>1.8093522928985226E-12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4.2373163860977959E-12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D2" sqref="D2:G5"/>
    </sheetView>
  </sheetViews>
  <sheetFormatPr defaultRowHeight="14.25"/>
  <cols>
    <col min="5" max="5" width="12.25" bestFit="1" customWidth="1"/>
  </cols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2.4240528260228112E-14</v>
      </c>
      <c r="D3" s="9" t="s">
        <v>9</v>
      </c>
      <c r="E3" s="9">
        <v>0</v>
      </c>
      <c r="F3" s="9">
        <v>1.0000000652130816</v>
      </c>
      <c r="G3" s="9">
        <v>-1.0000008941915839</v>
      </c>
    </row>
    <row r="4" spans="1:7">
      <c r="A4" s="9" t="s">
        <v>3</v>
      </c>
      <c r="B4" s="9">
        <v>1.4285667157438353</v>
      </c>
      <c r="D4" s="9" t="s">
        <v>10</v>
      </c>
      <c r="E4" s="9">
        <v>1.9999928537826368</v>
      </c>
      <c r="F4" s="9">
        <v>0</v>
      </c>
      <c r="G4" s="9">
        <v>0</v>
      </c>
    </row>
    <row r="5" spans="1:7">
      <c r="A5" s="9" t="s">
        <v>4</v>
      </c>
      <c r="B5" s="9">
        <v>1.5802502107792703E-33</v>
      </c>
      <c r="D5" s="9" t="s">
        <v>11</v>
      </c>
      <c r="E5" s="9">
        <v>-1.9999984190339617</v>
      </c>
      <c r="F5" s="9">
        <v>0</v>
      </c>
      <c r="G5" s="9">
        <v>0</v>
      </c>
    </row>
    <row r="6" spans="1:7">
      <c r="A6" s="9" t="s">
        <v>5</v>
      </c>
      <c r="B6" s="9">
        <v>171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6.758015544957304E-17</v>
      </c>
      <c r="D9" s="5" t="s">
        <v>9</v>
      </c>
      <c r="E9" s="5">
        <v>0</v>
      </c>
      <c r="F9" s="5">
        <v>1</v>
      </c>
      <c r="G9" s="5">
        <v>-1</v>
      </c>
    </row>
    <row r="10" spans="1:7">
      <c r="A10" s="9" t="s">
        <v>10</v>
      </c>
      <c r="B10" s="9">
        <v>2.1945505077214023E-14</v>
      </c>
      <c r="D10" s="5" t="s">
        <v>10</v>
      </c>
      <c r="E10" s="5">
        <v>2</v>
      </c>
      <c r="F10" s="5">
        <v>0</v>
      </c>
      <c r="G10" s="5">
        <v>0</v>
      </c>
    </row>
    <row r="11" spans="1:7">
      <c r="A11" s="9" t="s">
        <v>11</v>
      </c>
      <c r="B11" s="9">
        <v>5.0708499548020741E-14</v>
      </c>
      <c r="D11" s="5" t="s">
        <v>11</v>
      </c>
      <c r="E11" s="5">
        <v>-2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4.2527460119581881E-15</v>
      </c>
      <c r="G13">
        <f t="shared" si="0"/>
        <v>7.9957858869778591E-13</v>
      </c>
    </row>
    <row r="14" spans="1:7">
      <c r="E14">
        <f t="shared" ref="E14:G15" si="1">(E10-E4)^2</f>
        <v>5.1068422602050101E-11</v>
      </c>
      <c r="F14">
        <f t="shared" si="1"/>
        <v>0</v>
      </c>
      <c r="G14">
        <f t="shared" si="1"/>
        <v>0</v>
      </c>
    </row>
    <row r="15" spans="1:7">
      <c r="E15">
        <f>(E11-E5)^2</f>
        <v>2.4994536142767503E-12</v>
      </c>
      <c r="F15">
        <f t="shared" si="1"/>
        <v>0</v>
      </c>
      <c r="G15">
        <f t="shared" si="1"/>
        <v>0</v>
      </c>
    </row>
    <row r="17" spans="4:5" ht="15">
      <c r="E17" s="4">
        <f>SUM(E13:G15)</f>
        <v>5.4371707551036594E-11</v>
      </c>
    </row>
    <row r="19" spans="4:5">
      <c r="D19" s="8"/>
    </row>
    <row r="20" spans="4:5">
      <c r="D20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8.7694512169089304E-14</v>
      </c>
      <c r="D3" s="9" t="s">
        <v>9</v>
      </c>
      <c r="E3" s="9">
        <v>0</v>
      </c>
      <c r="F3" s="9">
        <v>-0.99999388950255264</v>
      </c>
      <c r="G3" s="9">
        <v>1.9999912284602186</v>
      </c>
    </row>
    <row r="4" spans="1:7">
      <c r="A4" s="9" t="s">
        <v>3</v>
      </c>
      <c r="B4" s="9">
        <v>1.4285638482889429</v>
      </c>
      <c r="D4" s="9" t="s">
        <v>10</v>
      </c>
      <c r="E4" s="9">
        <v>-1.9999995646574307</v>
      </c>
      <c r="F4" s="9">
        <v>0</v>
      </c>
      <c r="G4" s="9">
        <v>0</v>
      </c>
    </row>
    <row r="5" spans="1:7">
      <c r="A5" s="9" t="s">
        <v>4</v>
      </c>
      <c r="B5" s="9">
        <v>0</v>
      </c>
      <c r="D5" s="9" t="s">
        <v>11</v>
      </c>
      <c r="E5" s="9">
        <v>0.9999979931832258</v>
      </c>
      <c r="F5" s="9">
        <v>0</v>
      </c>
      <c r="G5" s="9">
        <v>0</v>
      </c>
    </row>
    <row r="6" spans="1:7">
      <c r="A6" s="9" t="s">
        <v>5</v>
      </c>
      <c r="B6" s="9">
        <v>187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1.2086575608162065E-13</v>
      </c>
      <c r="D9" s="5" t="s">
        <v>9</v>
      </c>
      <c r="E9" s="5">
        <v>0</v>
      </c>
      <c r="F9" s="5">
        <v>-1</v>
      </c>
      <c r="G9" s="5">
        <v>2</v>
      </c>
    </row>
    <row r="10" spans="1:7">
      <c r="A10" s="9" t="s">
        <v>10</v>
      </c>
      <c r="B10" s="9">
        <v>1.2908703266563522E-13</v>
      </c>
      <c r="D10" s="5" t="s">
        <v>10</v>
      </c>
      <c r="E10" s="5">
        <v>-2</v>
      </c>
      <c r="F10" s="5">
        <v>0</v>
      </c>
      <c r="G10" s="5">
        <v>0</v>
      </c>
    </row>
    <row r="11" spans="1:7">
      <c r="A11" s="9" t="s">
        <v>11</v>
      </c>
      <c r="B11" s="9">
        <v>1.3130747760012085E-14</v>
      </c>
      <c r="D11" s="5" t="s">
        <v>11</v>
      </c>
      <c r="E11" s="5">
        <v>1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3.7338179054250433E-11</v>
      </c>
      <c r="G13">
        <f t="shared" si="0"/>
        <v>7.6939910136766425E-11</v>
      </c>
    </row>
    <row r="14" spans="1:7">
      <c r="E14">
        <f t="shared" ref="E14:G15" si="1">(E10-E4)^2</f>
        <v>1.8952315266831278E-13</v>
      </c>
      <c r="F14">
        <f t="shared" si="1"/>
        <v>0</v>
      </c>
      <c r="G14">
        <f t="shared" si="1"/>
        <v>0</v>
      </c>
    </row>
    <row r="15" spans="1:7">
      <c r="E15">
        <f t="shared" si="1"/>
        <v>4.0273135652212055E-12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1.1849492590890638E-10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9.4766565102818429E-14</v>
      </c>
      <c r="D3" s="9" t="s">
        <v>9</v>
      </c>
      <c r="E3" s="9">
        <v>0</v>
      </c>
      <c r="F3" s="9">
        <v>1.9999934753197737</v>
      </c>
      <c r="G3" s="9">
        <v>-1.9999897598973817</v>
      </c>
    </row>
    <row r="4" spans="1:7">
      <c r="A4" s="9" t="s">
        <v>3</v>
      </c>
      <c r="B4" s="9">
        <v>1.4285616961945162</v>
      </c>
      <c r="D4" s="9" t="s">
        <v>10</v>
      </c>
      <c r="E4" s="9">
        <v>0.9999987825872324</v>
      </c>
      <c r="F4" s="9">
        <v>0</v>
      </c>
      <c r="G4" s="9">
        <v>0</v>
      </c>
    </row>
    <row r="5" spans="1:7">
      <c r="A5" s="9" t="s">
        <v>4</v>
      </c>
      <c r="B5" s="9">
        <v>0</v>
      </c>
      <c r="D5" s="9" t="s">
        <v>11</v>
      </c>
      <c r="E5" s="9">
        <v>-1.0000006835798414</v>
      </c>
      <c r="F5" s="9">
        <v>0</v>
      </c>
      <c r="G5" s="9">
        <v>0</v>
      </c>
    </row>
    <row r="6" spans="1:7">
      <c r="A6" s="9" t="s">
        <v>5</v>
      </c>
      <c r="B6" s="9">
        <v>194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1.57509512466037E-13</v>
      </c>
      <c r="D9" s="5" t="s">
        <v>9</v>
      </c>
      <c r="E9" s="5">
        <v>0</v>
      </c>
      <c r="F9" s="5">
        <v>2</v>
      </c>
      <c r="G9" s="5">
        <v>-2</v>
      </c>
    </row>
    <row r="10" spans="1:7">
      <c r="A10" s="9" t="s">
        <v>10</v>
      </c>
      <c r="B10" s="9">
        <v>2.777311514722469E-14</v>
      </c>
      <c r="D10" s="5" t="s">
        <v>10</v>
      </c>
      <c r="E10" s="5">
        <v>1</v>
      </c>
      <c r="F10" s="5">
        <v>0</v>
      </c>
      <c r="G10" s="5">
        <v>0</v>
      </c>
    </row>
    <row r="11" spans="1:7">
      <c r="A11" s="9" t="s">
        <v>11</v>
      </c>
      <c r="B11" s="9">
        <v>9.9017067695193564E-14</v>
      </c>
      <c r="D11" s="5" t="s">
        <v>11</v>
      </c>
      <c r="E11" s="5">
        <v>-1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4.2571452055828577E-11</v>
      </c>
      <c r="G13">
        <f t="shared" si="0"/>
        <v>1.0485970163326213E-10</v>
      </c>
    </row>
    <row r="14" spans="1:7">
      <c r="E14">
        <f t="shared" ref="E14:G15" si="1">(E10-E4)^2</f>
        <v>1.4820938467049793E-12</v>
      </c>
      <c r="F14">
        <f t="shared" si="1"/>
        <v>0</v>
      </c>
      <c r="G14">
        <f t="shared" si="1"/>
        <v>0</v>
      </c>
    </row>
    <row r="15" spans="1:7">
      <c r="E15">
        <f t="shared" si="1"/>
        <v>4.6728139956631725E-13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1.4938052893536201E-10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6.3024314048023819E-14</v>
      </c>
      <c r="D3" s="9" t="s">
        <v>9</v>
      </c>
      <c r="E3" s="9">
        <v>0</v>
      </c>
      <c r="F3" s="9">
        <v>-1.9999937117473865</v>
      </c>
      <c r="G3" s="9">
        <v>-1.0000022609045112</v>
      </c>
    </row>
    <row r="4" spans="1:7">
      <c r="A4" s="9" t="s">
        <v>3</v>
      </c>
      <c r="B4" s="9">
        <v>1.4285636677033828</v>
      </c>
      <c r="D4" s="9" t="s">
        <v>10</v>
      </c>
      <c r="E4" s="9">
        <v>0.99999977192124612</v>
      </c>
      <c r="F4" s="9">
        <v>0</v>
      </c>
      <c r="G4" s="9">
        <v>0</v>
      </c>
    </row>
    <row r="5" spans="1:7">
      <c r="A5" s="9" t="s">
        <v>4</v>
      </c>
      <c r="B5" s="9">
        <v>0</v>
      </c>
      <c r="D5" s="9" t="s">
        <v>11</v>
      </c>
      <c r="E5" s="9">
        <v>1.9999916902876609</v>
      </c>
      <c r="F5" s="9">
        <v>0</v>
      </c>
      <c r="G5" s="9">
        <v>0</v>
      </c>
    </row>
    <row r="6" spans="1:7">
      <c r="A6" s="9" t="s">
        <v>5</v>
      </c>
      <c r="B6" s="9">
        <v>146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7.461203739328118E-14</v>
      </c>
      <c r="D9" s="5" t="s">
        <v>9</v>
      </c>
      <c r="E9" s="5">
        <v>0</v>
      </c>
      <c r="F9" s="5">
        <v>-2</v>
      </c>
      <c r="G9" s="5">
        <v>-1</v>
      </c>
    </row>
    <row r="10" spans="1:7">
      <c r="A10" s="9" t="s">
        <v>10</v>
      </c>
      <c r="B10" s="9">
        <v>2.2655421115388251E-16</v>
      </c>
      <c r="D10" s="5" t="s">
        <v>10</v>
      </c>
      <c r="E10" s="5">
        <v>1</v>
      </c>
      <c r="F10" s="5">
        <v>0</v>
      </c>
      <c r="G10" s="5">
        <v>0</v>
      </c>
    </row>
    <row r="11" spans="1:7">
      <c r="A11" s="9" t="s">
        <v>11</v>
      </c>
      <c r="B11" s="9">
        <v>1.1423435053963637E-13</v>
      </c>
      <c r="D11" s="5" t="s">
        <v>11</v>
      </c>
      <c r="E11" s="5">
        <v>2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3.9542120931272946E-11</v>
      </c>
      <c r="G13">
        <f t="shared" si="0"/>
        <v>5.111689208603268E-12</v>
      </c>
    </row>
    <row r="14" spans="1:7">
      <c r="E14">
        <f t="shared" ref="E14:G15" si="1">(E10-E4)^2</f>
        <v>5.2019917972963299E-14</v>
      </c>
      <c r="F14">
        <f t="shared" si="1"/>
        <v>0</v>
      </c>
      <c r="G14">
        <f t="shared" si="1"/>
        <v>0</v>
      </c>
    </row>
    <row r="15" spans="1:7">
      <c r="E15">
        <f t="shared" si="1"/>
        <v>6.9051319158861021E-11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1.137571492167102E-10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1.2563505704774702E-13</v>
      </c>
      <c r="D3" s="9" t="s">
        <v>9</v>
      </c>
      <c r="E3" s="9">
        <v>0</v>
      </c>
      <c r="F3" s="9">
        <v>-0.99999685110671688</v>
      </c>
      <c r="G3" s="9">
        <v>0.99999446560082528</v>
      </c>
    </row>
    <row r="4" spans="1:7">
      <c r="A4" s="9" t="s">
        <v>3</v>
      </c>
      <c r="B4" s="9">
        <v>1.4285607540334486</v>
      </c>
      <c r="D4" s="9" t="s">
        <v>10</v>
      </c>
      <c r="E4" s="9">
        <v>1.9999934545023828</v>
      </c>
      <c r="F4" s="9">
        <v>0</v>
      </c>
      <c r="G4" s="9">
        <v>0</v>
      </c>
    </row>
    <row r="5" spans="1:7">
      <c r="A5" s="9" t="s">
        <v>4</v>
      </c>
      <c r="B5" s="9">
        <v>1.5802502107792703E-33</v>
      </c>
      <c r="D5" s="9" t="s">
        <v>11</v>
      </c>
      <c r="E5" s="9">
        <v>-1.9999922066562961</v>
      </c>
      <c r="F5" s="9">
        <v>0</v>
      </c>
      <c r="G5" s="9">
        <v>0</v>
      </c>
    </row>
    <row r="6" spans="1:7">
      <c r="A6" s="9" t="s">
        <v>5</v>
      </c>
      <c r="B6" s="9">
        <v>138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8.0119657827877469E-14</v>
      </c>
      <c r="D9" s="5" t="s">
        <v>9</v>
      </c>
      <c r="E9" s="5">
        <v>0</v>
      </c>
      <c r="F9" s="5">
        <v>-1</v>
      </c>
      <c r="G9" s="5">
        <v>1</v>
      </c>
    </row>
    <row r="10" spans="1:7">
      <c r="A10" s="9" t="s">
        <v>10</v>
      </c>
      <c r="B10" s="9">
        <v>1.8672718052319544E-14</v>
      </c>
      <c r="D10" s="5" t="s">
        <v>10</v>
      </c>
      <c r="E10" s="5">
        <v>2</v>
      </c>
      <c r="F10" s="5">
        <v>0</v>
      </c>
      <c r="G10" s="5">
        <v>0</v>
      </c>
    </row>
    <row r="11" spans="1:7">
      <c r="A11" s="9" t="s">
        <v>11</v>
      </c>
      <c r="B11" s="9">
        <v>2.7811279526304401E-13</v>
      </c>
      <c r="D11" s="5" t="s">
        <v>11</v>
      </c>
      <c r="E11" s="5">
        <v>-2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9.9155289084940693E-12</v>
      </c>
      <c r="G13">
        <f t="shared" si="0"/>
        <v>3.0629574225169505E-11</v>
      </c>
    </row>
    <row r="14" spans="1:7">
      <c r="E14">
        <f t="shared" ref="E14:G15" si="1">(E10-E4)^2</f>
        <v>4.2843539057420867E-11</v>
      </c>
      <c r="F14">
        <f t="shared" si="1"/>
        <v>0</v>
      </c>
      <c r="G14">
        <f t="shared" si="1"/>
        <v>0</v>
      </c>
    </row>
    <row r="15" spans="1:7">
      <c r="E15">
        <f t="shared" si="1"/>
        <v>6.073620608762223E-11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1.4412484827870669E-10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11" ht="15">
      <c r="A1" s="3" t="s">
        <v>23</v>
      </c>
    </row>
    <row r="2" spans="1:11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11">
      <c r="A3" s="9" t="s">
        <v>2</v>
      </c>
      <c r="B3" s="9">
        <v>6.406087979637947E-13</v>
      </c>
      <c r="D3" s="9" t="s">
        <v>9</v>
      </c>
      <c r="E3" s="9">
        <v>0</v>
      </c>
      <c r="F3" s="9">
        <v>1.0001088350291434</v>
      </c>
      <c r="G3" s="9">
        <v>1.9998971325483919</v>
      </c>
    </row>
    <row r="4" spans="1:11">
      <c r="A4" s="9" t="s">
        <v>3</v>
      </c>
      <c r="B4" s="9">
        <v>1.4284696848247247</v>
      </c>
      <c r="D4" s="9" t="s">
        <v>10</v>
      </c>
      <c r="E4" s="9">
        <v>-1.9998905545662791</v>
      </c>
      <c r="F4" s="9">
        <v>0</v>
      </c>
      <c r="G4" s="9">
        <v>0</v>
      </c>
    </row>
    <row r="5" spans="1:11">
      <c r="A5" s="9" t="s">
        <v>4</v>
      </c>
      <c r="B5" s="9">
        <v>0</v>
      </c>
      <c r="D5" s="9" t="s">
        <v>11</v>
      </c>
      <c r="E5" s="9">
        <v>-0.9999596550101435</v>
      </c>
      <c r="F5" s="9">
        <v>0</v>
      </c>
      <c r="G5" s="9">
        <v>0</v>
      </c>
    </row>
    <row r="6" spans="1:11">
      <c r="A6" s="9" t="s">
        <v>5</v>
      </c>
      <c r="B6" s="9">
        <v>80426</v>
      </c>
    </row>
    <row r="7" spans="1:11">
      <c r="A7" s="9" t="s">
        <v>6</v>
      </c>
      <c r="B7" s="9"/>
    </row>
    <row r="8" spans="1:11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11">
      <c r="A9" s="9" t="s">
        <v>9</v>
      </c>
      <c r="B9" s="9">
        <v>8.8779511410104081E-13</v>
      </c>
      <c r="D9" s="5" t="s">
        <v>9</v>
      </c>
      <c r="E9" s="5">
        <v>0</v>
      </c>
      <c r="F9" s="5">
        <v>1</v>
      </c>
      <c r="G9" s="5">
        <v>2</v>
      </c>
      <c r="I9" s="2"/>
      <c r="J9" s="2"/>
      <c r="K9" s="2"/>
    </row>
    <row r="10" spans="1:11">
      <c r="A10" s="9" t="s">
        <v>10</v>
      </c>
      <c r="B10" s="9">
        <v>8.8522224049641473E-13</v>
      </c>
      <c r="D10" s="5" t="s">
        <v>10</v>
      </c>
      <c r="E10" s="5">
        <v>-2</v>
      </c>
      <c r="F10" s="5">
        <v>0</v>
      </c>
      <c r="G10" s="5">
        <v>0</v>
      </c>
      <c r="I10" s="2"/>
      <c r="J10" s="2"/>
      <c r="K10" s="2"/>
    </row>
    <row r="11" spans="1:11">
      <c r="A11" s="9" t="s">
        <v>11</v>
      </c>
      <c r="B11" s="9">
        <v>1.4880903929392869E-13</v>
      </c>
      <c r="D11" s="5" t="s">
        <v>11</v>
      </c>
      <c r="E11" s="5">
        <v>-1</v>
      </c>
      <c r="F11" s="5">
        <v>0</v>
      </c>
      <c r="G11" s="5">
        <v>0</v>
      </c>
      <c r="I11" s="2"/>
      <c r="J11" s="2"/>
      <c r="K11" s="2"/>
    </row>
    <row r="13" spans="1:11">
      <c r="E13">
        <f>(E9-E3)^2</f>
        <v>0</v>
      </c>
      <c r="F13">
        <f t="shared" ref="F13:G13" si="0">(F9-F3)^2</f>
        <v>1.1845063568641184E-8</v>
      </c>
      <c r="G13">
        <f t="shared" si="0"/>
        <v>1.0581712600354311E-8</v>
      </c>
    </row>
    <row r="14" spans="1:11">
      <c r="E14">
        <f t="shared" ref="E14:G15" si="1">(E10-E4)^2</f>
        <v>1.1978302962363324E-8</v>
      </c>
      <c r="F14">
        <f t="shared" si="1"/>
        <v>0</v>
      </c>
      <c r="G14">
        <f t="shared" si="1"/>
        <v>0</v>
      </c>
    </row>
    <row r="15" spans="1:11">
      <c r="E15">
        <f t="shared" si="1"/>
        <v>1.6277182065210906E-9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3.6032797337879908E-8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4.0004191964928363E-11</v>
      </c>
      <c r="D3" s="9" t="s">
        <v>9</v>
      </c>
      <c r="E3" s="9">
        <v>0</v>
      </c>
      <c r="F3" s="9">
        <v>1.9959240741739002</v>
      </c>
      <c r="G3" s="9">
        <v>-1.997127184780374</v>
      </c>
    </row>
    <row r="4" spans="1:7">
      <c r="A4" s="9" t="s">
        <v>3</v>
      </c>
      <c r="B4" s="9">
        <v>1.4250002482367865</v>
      </c>
      <c r="D4" s="9" t="s">
        <v>10</v>
      </c>
      <c r="E4" s="9">
        <v>-1.000624431131065</v>
      </c>
      <c r="F4" s="9">
        <v>0</v>
      </c>
      <c r="G4" s="9">
        <v>0</v>
      </c>
    </row>
    <row r="5" spans="1:7">
      <c r="A5" s="9" t="s">
        <v>4</v>
      </c>
      <c r="B5" s="9">
        <v>3.9506255269481758E-34</v>
      </c>
      <c r="D5" s="9" t="s">
        <v>11</v>
      </c>
      <c r="E5" s="9">
        <v>1.0007606719803137</v>
      </c>
      <c r="F5" s="9">
        <v>0</v>
      </c>
      <c r="G5" s="9">
        <v>0</v>
      </c>
    </row>
    <row r="6" spans="1:7">
      <c r="A6" s="9" t="s">
        <v>5</v>
      </c>
      <c r="B6" s="9">
        <v>322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4.7190155425736019E-11</v>
      </c>
      <c r="D9" s="5" t="s">
        <v>9</v>
      </c>
      <c r="E9" s="5">
        <v>0</v>
      </c>
      <c r="F9" s="5">
        <v>2</v>
      </c>
      <c r="G9" s="5">
        <v>-2</v>
      </c>
    </row>
    <row r="10" spans="1:7">
      <c r="A10" s="9" t="s">
        <v>10</v>
      </c>
      <c r="B10" s="9">
        <v>2.9409507443473723E-11</v>
      </c>
      <c r="D10" s="5" t="s">
        <v>10</v>
      </c>
      <c r="E10" s="5">
        <v>-1</v>
      </c>
      <c r="F10" s="5">
        <v>0</v>
      </c>
      <c r="G10" s="5">
        <v>0</v>
      </c>
    </row>
    <row r="11" spans="1:7">
      <c r="A11" s="9" t="s">
        <v>11</v>
      </c>
      <c r="B11" s="9">
        <v>4.3412913025575355E-11</v>
      </c>
      <c r="D11" s="5" t="s">
        <v>11</v>
      </c>
      <c r="E11" s="5">
        <v>1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1.6613171339867626E-5</v>
      </c>
      <c r="G13">
        <f t="shared" si="0"/>
        <v>8.2530672861148551E-6</v>
      </c>
    </row>
    <row r="14" spans="1:7">
      <c r="E14">
        <f t="shared" ref="E14:G15" si="1">(E10-E4)^2</f>
        <v>3.899142374431509E-7</v>
      </c>
      <c r="F14">
        <f t="shared" si="1"/>
        <v>0</v>
      </c>
      <c r="G14">
        <f t="shared" si="1"/>
        <v>0</v>
      </c>
    </row>
    <row r="15" spans="1:7">
      <c r="E15">
        <f t="shared" si="1"/>
        <v>5.7862186163438062E-7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2.5834774725060014E-5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9.2519757539810808E-14</v>
      </c>
      <c r="D3" s="9" t="s">
        <v>9</v>
      </c>
      <c r="E3" s="9">
        <v>0</v>
      </c>
      <c r="F3" s="9">
        <v>0.99999628883383929</v>
      </c>
      <c r="G3" s="9">
        <v>-1.9999968318118342</v>
      </c>
    </row>
    <row r="4" spans="1:7">
      <c r="A4" s="9" t="s">
        <v>3</v>
      </c>
      <c r="B4" s="9">
        <v>1.4285645823047994</v>
      </c>
      <c r="D4" s="9" t="s">
        <v>10</v>
      </c>
      <c r="E4" s="9">
        <v>-0.99999658341132347</v>
      </c>
      <c r="F4" s="9">
        <v>0</v>
      </c>
      <c r="G4" s="9">
        <v>0</v>
      </c>
    </row>
    <row r="5" spans="1:7">
      <c r="A5" s="9" t="s">
        <v>4</v>
      </c>
      <c r="B5" s="9">
        <v>9.8765638173704394E-35</v>
      </c>
      <c r="D5" s="9" t="s">
        <v>11</v>
      </c>
      <c r="E5" s="9">
        <v>1.9999947510819027</v>
      </c>
      <c r="F5" s="9">
        <v>0</v>
      </c>
      <c r="G5" s="9">
        <v>0</v>
      </c>
    </row>
    <row r="6" spans="1:7">
      <c r="A6" s="9" t="s">
        <v>5</v>
      </c>
      <c r="B6" s="9">
        <v>130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2.4346043461141321E-13</v>
      </c>
      <c r="D9" s="5" t="s">
        <v>9</v>
      </c>
      <c r="E9" s="5">
        <v>0</v>
      </c>
      <c r="F9" s="5">
        <v>1</v>
      </c>
      <c r="G9" s="5">
        <v>-2</v>
      </c>
    </row>
    <row r="10" spans="1:7">
      <c r="A10" s="9" t="s">
        <v>10</v>
      </c>
      <c r="B10" s="9">
        <v>1.8335164817366622E-14</v>
      </c>
      <c r="D10" s="5" t="s">
        <v>10</v>
      </c>
      <c r="E10" s="5">
        <v>-1</v>
      </c>
      <c r="F10" s="5">
        <v>0</v>
      </c>
      <c r="G10" s="5">
        <v>0</v>
      </c>
    </row>
    <row r="11" spans="1:7">
      <c r="A11" s="9" t="s">
        <v>11</v>
      </c>
      <c r="B11" s="9">
        <v>1.5763673190652606E-14</v>
      </c>
      <c r="D11" s="5" t="s">
        <v>11</v>
      </c>
      <c r="E11" s="5">
        <v>2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1.3772754272426112E-11</v>
      </c>
      <c r="G13">
        <f t="shared" si="0"/>
        <v>1.0037416254004517E-11</v>
      </c>
    </row>
    <row r="14" spans="1:7">
      <c r="E14">
        <f t="shared" ref="E14:G15" si="1">(E10-E4)^2</f>
        <v>1.1673078184594892E-11</v>
      </c>
      <c r="F14">
        <f t="shared" si="1"/>
        <v>0</v>
      </c>
      <c r="G14">
        <f t="shared" si="1"/>
        <v>0</v>
      </c>
    </row>
    <row r="15" spans="1:7">
      <c r="E15">
        <f t="shared" si="1"/>
        <v>2.7551141191933775E-11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6.3034389902959295E-11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4.8702803364271976E-14</v>
      </c>
      <c r="D3" s="9" t="s">
        <v>9</v>
      </c>
      <c r="E3" s="9">
        <v>0</v>
      </c>
      <c r="F3" s="9">
        <v>-1.9999970575236077</v>
      </c>
      <c r="G3" s="9">
        <v>-1.0000004143410537</v>
      </c>
    </row>
    <row r="4" spans="1:7">
      <c r="A4" s="9" t="s">
        <v>3</v>
      </c>
      <c r="B4" s="9">
        <v>1.4285671166252158</v>
      </c>
      <c r="D4" s="9" t="s">
        <v>10</v>
      </c>
      <c r="E4" s="9">
        <v>1.9999958019169979</v>
      </c>
      <c r="F4" s="9">
        <v>0</v>
      </c>
      <c r="G4" s="9">
        <v>0</v>
      </c>
    </row>
    <row r="5" spans="1:7">
      <c r="A5" s="9" t="s">
        <v>4</v>
      </c>
      <c r="B5" s="9">
        <v>0</v>
      </c>
      <c r="D5" s="9" t="s">
        <v>11</v>
      </c>
      <c r="E5" s="9">
        <v>0.99999877494775846</v>
      </c>
      <c r="F5" s="9">
        <v>0</v>
      </c>
      <c r="G5" s="9">
        <v>0</v>
      </c>
    </row>
    <row r="6" spans="1:7">
      <c r="A6" s="9" t="s">
        <v>5</v>
      </c>
      <c r="B6" s="9">
        <v>138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1.1609851760266064E-13</v>
      </c>
      <c r="D9" s="5" t="s">
        <v>9</v>
      </c>
      <c r="E9" s="5">
        <v>0</v>
      </c>
      <c r="F9" s="5">
        <v>-2</v>
      </c>
      <c r="G9" s="5">
        <v>-1</v>
      </c>
    </row>
    <row r="10" spans="1:7">
      <c r="A10" s="9" t="s">
        <v>10</v>
      </c>
      <c r="B10" s="9">
        <v>2.6699569208191902E-14</v>
      </c>
      <c r="D10" s="5" t="s">
        <v>10</v>
      </c>
      <c r="E10" s="5">
        <v>2</v>
      </c>
      <c r="F10" s="5">
        <v>0</v>
      </c>
      <c r="G10" s="5">
        <v>0</v>
      </c>
    </row>
    <row r="11" spans="1:7">
      <c r="A11" s="9" t="s">
        <v>11</v>
      </c>
      <c r="B11" s="9">
        <v>3.3103232819633852E-15</v>
      </c>
      <c r="D11" s="5" t="s">
        <v>11</v>
      </c>
      <c r="E11" s="5">
        <v>1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8.6581673193620469E-12</v>
      </c>
      <c r="G13">
        <f t="shared" si="0"/>
        <v>1.7167850877246423E-13</v>
      </c>
    </row>
    <row r="14" spans="1:7">
      <c r="E14">
        <f t="shared" ref="E14:G15" si="1">(E10-E4)^2</f>
        <v>1.762390089265523E-11</v>
      </c>
      <c r="F14">
        <f t="shared" si="1"/>
        <v>0</v>
      </c>
      <c r="G14">
        <f t="shared" si="1"/>
        <v>0</v>
      </c>
    </row>
    <row r="15" spans="1:7">
      <c r="E15">
        <f t="shared" si="1"/>
        <v>1.5007529944973177E-12</v>
      </c>
      <c r="F15">
        <f t="shared" si="1"/>
        <v>0</v>
      </c>
      <c r="G15">
        <f t="shared" si="1"/>
        <v>0</v>
      </c>
    </row>
    <row r="17" spans="4:5" ht="15">
      <c r="E17" s="4">
        <f>SUM(E13:G15)</f>
        <v>2.7954499715287058E-11</v>
      </c>
    </row>
    <row r="20" spans="4:5">
      <c r="D20" s="8"/>
    </row>
    <row r="21" spans="4:5">
      <c r="D21" s="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">
      <c r="A1" s="3" t="s">
        <v>23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1.1368111395795577E-13</v>
      </c>
      <c r="D3" s="9" t="s">
        <v>9</v>
      </c>
      <c r="E3" s="9">
        <v>0</v>
      </c>
      <c r="F3" s="9">
        <v>-0.99999736291350461</v>
      </c>
      <c r="G3" s="9">
        <v>1.9999929966565122</v>
      </c>
    </row>
    <row r="4" spans="1:7">
      <c r="A4" s="9" t="s">
        <v>3</v>
      </c>
      <c r="B4" s="9">
        <v>1.4285631765365721</v>
      </c>
      <c r="D4" s="9" t="s">
        <v>10</v>
      </c>
      <c r="E4" s="9">
        <v>0.99999836280111942</v>
      </c>
      <c r="F4" s="9">
        <v>0</v>
      </c>
      <c r="G4" s="9">
        <v>0</v>
      </c>
    </row>
    <row r="5" spans="1:7">
      <c r="A5" s="9" t="s">
        <v>4</v>
      </c>
      <c r="B5" s="9">
        <v>0</v>
      </c>
      <c r="D5" s="9" t="s">
        <v>11</v>
      </c>
      <c r="E5" s="9">
        <v>-1.9999946993984408</v>
      </c>
      <c r="F5" s="9">
        <v>0</v>
      </c>
      <c r="G5" s="9">
        <v>0</v>
      </c>
    </row>
    <row r="6" spans="1:7">
      <c r="A6" s="9" t="s">
        <v>5</v>
      </c>
      <c r="B6" s="9">
        <v>122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2.7527878115115049E-14</v>
      </c>
      <c r="D9" s="5" t="s">
        <v>9</v>
      </c>
      <c r="E9" s="5">
        <v>0</v>
      </c>
      <c r="F9" s="5">
        <v>-1</v>
      </c>
      <c r="G9" s="5">
        <v>2</v>
      </c>
    </row>
    <row r="10" spans="1:7">
      <c r="A10" s="9" t="s">
        <v>10</v>
      </c>
      <c r="B10" s="9">
        <v>8.989972719908877E-15</v>
      </c>
      <c r="D10" s="5" t="s">
        <v>10</v>
      </c>
      <c r="E10" s="5">
        <v>1</v>
      </c>
      <c r="F10" s="5">
        <v>0</v>
      </c>
      <c r="G10" s="5">
        <v>0</v>
      </c>
    </row>
    <row r="11" spans="1:7">
      <c r="A11" s="9" t="s">
        <v>11</v>
      </c>
      <c r="B11" s="9">
        <v>3.0452549103884344E-13</v>
      </c>
      <c r="D11" s="5" t="s">
        <v>11</v>
      </c>
      <c r="E11" s="5">
        <v>-2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6.9542251841891918E-12</v>
      </c>
      <c r="G13">
        <f t="shared" si="0"/>
        <v>4.9046820008099256E-11</v>
      </c>
    </row>
    <row r="14" spans="1:7">
      <c r="E14">
        <f t="shared" ref="E14:G15" si="1">(E10-E4)^2</f>
        <v>2.6804201745640577E-12</v>
      </c>
      <c r="F14">
        <f t="shared" si="1"/>
        <v>0</v>
      </c>
      <c r="G14">
        <f t="shared" si="1"/>
        <v>0</v>
      </c>
    </row>
    <row r="15" spans="1:7">
      <c r="E15">
        <f t="shared" si="1"/>
        <v>2.8096376889740464E-11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8.6777842256592969E-11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7" ht="15">
      <c r="A1" s="3" t="s">
        <v>22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9.631611216887719E-14</v>
      </c>
      <c r="D3" s="9" t="s">
        <v>9</v>
      </c>
      <c r="E3" s="9">
        <v>0</v>
      </c>
      <c r="F3" s="9">
        <v>1.9999925854905745</v>
      </c>
      <c r="G3" s="9">
        <v>0.99999660601170137</v>
      </c>
    </row>
    <row r="4" spans="1:7">
      <c r="A4" s="9" t="s">
        <v>3</v>
      </c>
      <c r="B4" s="9">
        <v>1.4285643911495913</v>
      </c>
      <c r="D4" s="9" t="s">
        <v>10</v>
      </c>
      <c r="E4" s="9">
        <v>-1.9999974955299658</v>
      </c>
      <c r="F4" s="9">
        <v>0</v>
      </c>
      <c r="G4" s="9">
        <v>0</v>
      </c>
    </row>
    <row r="5" spans="1:7">
      <c r="A5" s="9" t="s">
        <v>4</v>
      </c>
      <c r="B5" s="9">
        <v>0</v>
      </c>
      <c r="D5" s="9" t="s">
        <v>11</v>
      </c>
      <c r="E5" s="9">
        <v>-0.99999860092157478</v>
      </c>
      <c r="F5" s="9">
        <v>0</v>
      </c>
      <c r="G5" s="9">
        <v>0</v>
      </c>
    </row>
    <row r="6" spans="1:7">
      <c r="A6" s="9" t="s">
        <v>5</v>
      </c>
      <c r="B6" s="9">
        <v>130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6.0015670281845376E-14</v>
      </c>
      <c r="D9" s="5" t="s">
        <v>9</v>
      </c>
      <c r="E9" s="5">
        <v>0</v>
      </c>
      <c r="F9" s="5">
        <v>2</v>
      </c>
      <c r="G9" s="5">
        <v>1</v>
      </c>
    </row>
    <row r="10" spans="1:7">
      <c r="A10" s="9" t="s">
        <v>10</v>
      </c>
      <c r="B10" s="9">
        <v>1.5791982717697814E-13</v>
      </c>
      <c r="D10" s="5" t="s">
        <v>10</v>
      </c>
      <c r="E10" s="5">
        <v>-2</v>
      </c>
      <c r="F10" s="5">
        <v>0</v>
      </c>
      <c r="G10" s="5">
        <v>0</v>
      </c>
    </row>
    <row r="11" spans="1:7">
      <c r="A11" s="9" t="s">
        <v>11</v>
      </c>
      <c r="B11" s="9">
        <v>7.1012839047808068E-14</v>
      </c>
      <c r="D11" s="5" t="s">
        <v>11</v>
      </c>
      <c r="E11" s="5">
        <v>-1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5.4974950021431461E-11</v>
      </c>
      <c r="G13">
        <f t="shared" si="0"/>
        <v>1.1519156571222453E-11</v>
      </c>
    </row>
    <row r="14" spans="1:7">
      <c r="E14">
        <f t="shared" ref="E14:G15" si="1">(E10-E4)^2</f>
        <v>6.2723701524463272E-12</v>
      </c>
      <c r="F14">
        <f t="shared" si="1"/>
        <v>0</v>
      </c>
      <c r="G14">
        <f t="shared" si="1"/>
        <v>0</v>
      </c>
    </row>
    <row r="15" spans="1:7">
      <c r="E15">
        <f t="shared" si="1"/>
        <v>1.9574204399267046E-12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7.4723897185026948E-11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2" sqref="A2:B11"/>
    </sheetView>
  </sheetViews>
  <sheetFormatPr defaultRowHeight="14.25"/>
  <cols>
    <col min="5" max="5" width="12.25" bestFit="1" customWidth="1"/>
  </cols>
  <sheetData>
    <row r="1" spans="1:7" ht="15">
      <c r="A1" s="3" t="s">
        <v>22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1.2563509483178485E-13</v>
      </c>
      <c r="D3" s="9" t="s">
        <v>9</v>
      </c>
      <c r="E3" s="9">
        <v>0</v>
      </c>
      <c r="F3" s="9">
        <v>0.9999944655995</v>
      </c>
      <c r="G3" s="9">
        <v>-0.99999685110623027</v>
      </c>
    </row>
    <row r="4" spans="1:7">
      <c r="A4" s="9" t="s">
        <v>3</v>
      </c>
      <c r="B4" s="9">
        <v>1.4285607540316987</v>
      </c>
      <c r="D4" s="9" t="s">
        <v>10</v>
      </c>
      <c r="E4" s="9">
        <v>-1.9999922066554561</v>
      </c>
      <c r="F4" s="9">
        <v>0</v>
      </c>
      <c r="G4" s="9">
        <v>0</v>
      </c>
    </row>
    <row r="5" spans="1:7">
      <c r="A5" s="9" t="s">
        <v>4</v>
      </c>
      <c r="B5" s="9">
        <v>1.5802502107792703E-33</v>
      </c>
      <c r="D5" s="9" t="s">
        <v>11</v>
      </c>
      <c r="E5" s="9">
        <v>1.9999934545010662</v>
      </c>
      <c r="F5" s="9">
        <v>0</v>
      </c>
      <c r="G5" s="9">
        <v>0</v>
      </c>
    </row>
    <row r="6" spans="1:7">
      <c r="A6" s="9" t="s">
        <v>5</v>
      </c>
      <c r="B6" s="9">
        <v>138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8.0119667812332957E-14</v>
      </c>
      <c r="D9" s="5" t="s">
        <v>9</v>
      </c>
      <c r="E9" s="5">
        <v>0</v>
      </c>
      <c r="F9" s="5">
        <v>1</v>
      </c>
      <c r="G9" s="5">
        <v>-1</v>
      </c>
    </row>
    <row r="10" spans="1:7">
      <c r="A10" s="9" t="s">
        <v>10</v>
      </c>
      <c r="B10" s="9">
        <v>2.781128915852421E-13</v>
      </c>
      <c r="D10" s="5" t="s">
        <v>10</v>
      </c>
      <c r="E10" s="5">
        <v>-2</v>
      </c>
      <c r="F10" s="5">
        <v>0</v>
      </c>
      <c r="G10" s="5">
        <v>0</v>
      </c>
    </row>
    <row r="11" spans="1:7">
      <c r="A11" s="9" t="s">
        <v>11</v>
      </c>
      <c r="B11" s="9">
        <v>1.8672725097779529E-14</v>
      </c>
      <c r="D11" s="5" t="s">
        <v>11</v>
      </c>
      <c r="E11" s="5">
        <v>2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3.0629588894353342E-11</v>
      </c>
      <c r="G13">
        <f t="shared" si="0"/>
        <v>9.915531973064961E-12</v>
      </c>
    </row>
    <row r="14" spans="1:7">
      <c r="E14">
        <f t="shared" ref="E14:G15" si="1">(E10-E4)^2</f>
        <v>6.073621918035838E-11</v>
      </c>
      <c r="F14">
        <f t="shared" si="1"/>
        <v>0</v>
      </c>
      <c r="G14">
        <f t="shared" si="1"/>
        <v>0</v>
      </c>
    </row>
    <row r="15" spans="1:7">
      <c r="E15">
        <f t="shared" si="1"/>
        <v>4.2843556291750061E-11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1.4412489633952675E-10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E17" sqref="E17"/>
    </sheetView>
  </sheetViews>
  <sheetFormatPr defaultRowHeight="14.25"/>
  <cols>
    <col min="5" max="5" width="12.25" bestFit="1" customWidth="1"/>
  </cols>
  <sheetData>
    <row r="1" spans="1:12" ht="15">
      <c r="A1" s="3" t="s">
        <v>22</v>
      </c>
    </row>
    <row r="2" spans="1:12" ht="15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  <c r="I2" s="1" t="s">
        <v>12</v>
      </c>
      <c r="J2" s="1" t="s">
        <v>9</v>
      </c>
      <c r="K2" s="1" t="s">
        <v>10</v>
      </c>
      <c r="L2" s="1" t="s">
        <v>11</v>
      </c>
    </row>
    <row r="3" spans="1:12" ht="15">
      <c r="A3" s="9" t="s">
        <v>2</v>
      </c>
      <c r="B3" s="9">
        <v>6.3024508952427846E-14</v>
      </c>
      <c r="D3" s="9" t="s">
        <v>9</v>
      </c>
      <c r="E3" s="9">
        <v>0</v>
      </c>
      <c r="F3" s="9">
        <v>-1.0000022609053227</v>
      </c>
      <c r="G3" s="9">
        <v>-1.9999937117439668</v>
      </c>
      <c r="I3" s="1" t="s">
        <v>9</v>
      </c>
      <c r="J3" s="1">
        <v>0</v>
      </c>
      <c r="K3" s="1" t="s">
        <v>20</v>
      </c>
      <c r="L3" s="1" t="s">
        <v>21</v>
      </c>
    </row>
    <row r="4" spans="1:12" ht="15">
      <c r="A4" s="9" t="s">
        <v>3</v>
      </c>
      <c r="B4" s="9">
        <v>1.4285636676944822</v>
      </c>
      <c r="D4" s="9" t="s">
        <v>10</v>
      </c>
      <c r="E4" s="9">
        <v>1.999991690277908</v>
      </c>
      <c r="F4" s="9">
        <v>0</v>
      </c>
      <c r="G4" s="9">
        <v>0</v>
      </c>
      <c r="I4" s="1" t="s">
        <v>10</v>
      </c>
      <c r="J4" s="1" t="s">
        <v>18</v>
      </c>
      <c r="K4" s="1">
        <v>0</v>
      </c>
      <c r="L4" s="1">
        <v>0</v>
      </c>
    </row>
    <row r="5" spans="1:12" ht="15">
      <c r="A5" s="9" t="s">
        <v>4</v>
      </c>
      <c r="B5" s="9">
        <v>0</v>
      </c>
      <c r="D5" s="9" t="s">
        <v>11</v>
      </c>
      <c r="E5" s="9">
        <v>0.99999977191562806</v>
      </c>
      <c r="F5" s="9">
        <v>0</v>
      </c>
      <c r="G5" s="9">
        <v>0</v>
      </c>
      <c r="I5" s="1" t="s">
        <v>11</v>
      </c>
      <c r="J5" s="1" t="s">
        <v>19</v>
      </c>
      <c r="K5" s="1">
        <v>0</v>
      </c>
      <c r="L5" s="1">
        <v>0</v>
      </c>
    </row>
    <row r="6" spans="1:12">
      <c r="A6" s="9" t="s">
        <v>5</v>
      </c>
      <c r="B6" s="9">
        <v>146</v>
      </c>
    </row>
    <row r="7" spans="1:12">
      <c r="A7" s="9" t="s">
        <v>6</v>
      </c>
      <c r="B7" s="9"/>
    </row>
    <row r="8" spans="1:12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12">
      <c r="A9" s="9" t="s">
        <v>9</v>
      </c>
      <c r="B9" s="9">
        <v>7.4612363194226839E-14</v>
      </c>
      <c r="D9" s="5" t="s">
        <v>9</v>
      </c>
      <c r="E9" s="5">
        <v>0</v>
      </c>
      <c r="F9" s="5">
        <v>-1</v>
      </c>
      <c r="G9" s="5">
        <v>-2</v>
      </c>
    </row>
    <row r="10" spans="1:12">
      <c r="A10" s="9" t="s">
        <v>10</v>
      </c>
      <c r="B10" s="9">
        <v>1.1423460324260724E-13</v>
      </c>
      <c r="D10" s="5" t="s">
        <v>10</v>
      </c>
      <c r="E10" s="5">
        <v>2</v>
      </c>
      <c r="F10" s="5">
        <v>0</v>
      </c>
      <c r="G10" s="5">
        <v>0</v>
      </c>
    </row>
    <row r="11" spans="1:12">
      <c r="A11" s="9" t="s">
        <v>11</v>
      </c>
      <c r="B11" s="9">
        <v>2.2656042044949743E-16</v>
      </c>
      <c r="D11" s="5" t="s">
        <v>11</v>
      </c>
      <c r="E11" s="5">
        <v>1</v>
      </c>
      <c r="F11" s="5">
        <v>0</v>
      </c>
      <c r="G11" s="5">
        <v>0</v>
      </c>
    </row>
    <row r="13" spans="1:12">
      <c r="E13">
        <f>(E9-E3)^2</f>
        <v>0</v>
      </c>
      <c r="F13">
        <f t="shared" ref="F13:G13" si="0">(F9-F3)^2</f>
        <v>5.1116928783821804E-12</v>
      </c>
      <c r="G13">
        <f t="shared" si="0"/>
        <v>3.9542163939272253E-11</v>
      </c>
    </row>
    <row r="14" spans="1:12">
      <c r="E14">
        <f t="shared" ref="E14:G15" si="1">(E10-E4)^2</f>
        <v>6.9051481245964435E-11</v>
      </c>
      <c r="F14">
        <f t="shared" si="1"/>
        <v>0</v>
      </c>
      <c r="G14">
        <f t="shared" si="1"/>
        <v>0</v>
      </c>
    </row>
    <row r="15" spans="1:12">
      <c r="E15">
        <f t="shared" si="1"/>
        <v>5.2022480725490854E-14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1.1375736054434437E-10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1" max="1" width="12.25" bestFit="1" customWidth="1"/>
    <col min="2" max="2" width="13.75" bestFit="1" customWidth="1"/>
    <col min="4" max="4" width="7.375" customWidth="1"/>
    <col min="5" max="5" width="13.75" bestFit="1" customWidth="1"/>
    <col min="6" max="6" width="14.375" bestFit="1" customWidth="1"/>
    <col min="7" max="7" width="13.75" bestFit="1" customWidth="1"/>
  </cols>
  <sheetData>
    <row r="1" spans="1:7" ht="15">
      <c r="A1" s="3" t="s">
        <v>22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4.0005294290492406E-11</v>
      </c>
      <c r="D3" s="9" t="s">
        <v>9</v>
      </c>
      <c r="E3" s="9">
        <v>0</v>
      </c>
      <c r="F3" s="9">
        <v>-1.9971271451679928</v>
      </c>
      <c r="G3" s="9">
        <v>1.9959240174036708</v>
      </c>
    </row>
    <row r="4" spans="1:7">
      <c r="A4" s="9" t="s">
        <v>3</v>
      </c>
      <c r="B4" s="9">
        <v>1.4250001989552461</v>
      </c>
      <c r="D4" s="9" t="s">
        <v>10</v>
      </c>
      <c r="E4" s="9">
        <v>1.0007606833531248</v>
      </c>
      <c r="F4" s="9">
        <v>0</v>
      </c>
      <c r="G4" s="9">
        <v>0</v>
      </c>
    </row>
    <row r="5" spans="1:7">
      <c r="A5" s="9" t="s">
        <v>4</v>
      </c>
      <c r="B5" s="9">
        <v>3.9506255269481758E-34</v>
      </c>
      <c r="D5" s="9" t="s">
        <v>11</v>
      </c>
      <c r="E5" s="9">
        <v>-1.0006244396698829</v>
      </c>
      <c r="F5" s="9">
        <v>0</v>
      </c>
      <c r="G5" s="9">
        <v>0</v>
      </c>
    </row>
    <row r="6" spans="1:7">
      <c r="A6" s="9" t="s">
        <v>5</v>
      </c>
      <c r="B6" s="9">
        <v>322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5" t="s">
        <v>12</v>
      </c>
      <c r="E8" s="5" t="s">
        <v>9</v>
      </c>
      <c r="F8" s="5" t="s">
        <v>10</v>
      </c>
      <c r="G8" s="5" t="s">
        <v>11</v>
      </c>
    </row>
    <row r="9" spans="1:7">
      <c r="A9" s="9" t="s">
        <v>9</v>
      </c>
      <c r="B9" s="9">
        <v>4.7191334886303937E-11</v>
      </c>
      <c r="D9" s="5" t="s">
        <v>9</v>
      </c>
      <c r="E9" s="5">
        <v>0</v>
      </c>
      <c r="F9" s="5">
        <v>-2</v>
      </c>
      <c r="G9" s="5">
        <v>2</v>
      </c>
    </row>
    <row r="10" spans="1:7">
      <c r="A10" s="9" t="s">
        <v>10</v>
      </c>
      <c r="B10" s="9">
        <v>4.3414351971550047E-11</v>
      </c>
      <c r="D10" s="5" t="s">
        <v>10</v>
      </c>
      <c r="E10" s="5">
        <v>1</v>
      </c>
      <c r="F10" s="5">
        <v>0</v>
      </c>
      <c r="G10" s="5">
        <v>0</v>
      </c>
    </row>
    <row r="11" spans="1:7">
      <c r="A11" s="9" t="s">
        <v>11</v>
      </c>
      <c r="B11" s="9">
        <v>2.9410196013623227E-11</v>
      </c>
      <c r="D11" s="5" t="s">
        <v>11</v>
      </c>
      <c r="E11" s="5">
        <v>-1</v>
      </c>
      <c r="F11" s="5">
        <v>0</v>
      </c>
      <c r="G11" s="5">
        <v>0</v>
      </c>
    </row>
    <row r="13" spans="1:7">
      <c r="E13">
        <f>(E9-E3)^2</f>
        <v>0</v>
      </c>
      <c r="F13">
        <f t="shared" ref="F13:G13" si="0">(F9-F3)^2</f>
        <v>8.2532948857869201E-6</v>
      </c>
      <c r="G13">
        <f t="shared" si="0"/>
        <v>1.6613634125578868E-5</v>
      </c>
    </row>
    <row r="14" spans="1:7">
      <c r="E14">
        <f t="shared" ref="E14:G14" si="1">(E10-E4)^2</f>
        <v>5.7863916372126055E-7</v>
      </c>
      <c r="F14">
        <f t="shared" si="1"/>
        <v>0</v>
      </c>
      <c r="G14">
        <f t="shared" si="1"/>
        <v>0</v>
      </c>
    </row>
    <row r="15" spans="1:7">
      <c r="E15">
        <f t="shared" ref="E15:G15" si="2">(E11-E5)^2</f>
        <v>3.8992490132346958E-7</v>
      </c>
      <c r="F15">
        <f t="shared" si="2"/>
        <v>0</v>
      </c>
      <c r="G15">
        <f t="shared" si="2"/>
        <v>0</v>
      </c>
    </row>
    <row r="17" spans="5:5" ht="15">
      <c r="E17" s="4">
        <f>SUM(E13:G15)</f>
        <v>2.5835493076410521E-5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7" sqref="E17"/>
    </sheetView>
  </sheetViews>
  <sheetFormatPr defaultRowHeight="14.25"/>
  <cols>
    <col min="1" max="1" width="12.25" bestFit="1" customWidth="1"/>
    <col min="2" max="2" width="13.75" bestFit="1" customWidth="1"/>
    <col min="4" max="4" width="12.375" customWidth="1"/>
    <col min="5" max="5" width="13.75" bestFit="1" customWidth="1"/>
    <col min="6" max="6" width="14.375" bestFit="1" customWidth="1"/>
    <col min="7" max="7" width="13.75" bestFit="1" customWidth="1"/>
  </cols>
  <sheetData>
    <row r="1" spans="1:7" ht="15">
      <c r="A1" s="3" t="s">
        <v>22</v>
      </c>
    </row>
    <row r="2" spans="1:7">
      <c r="A2" s="9" t="s">
        <v>0</v>
      </c>
      <c r="B2" s="9" t="s">
        <v>1</v>
      </c>
      <c r="D2" s="9" t="s">
        <v>12</v>
      </c>
      <c r="E2" s="9" t="s">
        <v>9</v>
      </c>
      <c r="F2" s="9" t="s">
        <v>10</v>
      </c>
      <c r="G2" s="9" t="s">
        <v>11</v>
      </c>
    </row>
    <row r="3" spans="1:7">
      <c r="A3" s="9" t="s">
        <v>2</v>
      </c>
      <c r="B3" s="9">
        <v>6.4058657400419E-13</v>
      </c>
      <c r="D3" s="9" t="s">
        <v>9</v>
      </c>
      <c r="E3" s="9">
        <v>0</v>
      </c>
      <c r="F3" s="9">
        <v>1.9998971346143994</v>
      </c>
      <c r="G3" s="9">
        <v>1.0001088325237473</v>
      </c>
    </row>
    <row r="4" spans="1:7">
      <c r="A4" s="9" t="s">
        <v>3</v>
      </c>
      <c r="B4" s="9">
        <v>1.428469686838133</v>
      </c>
      <c r="D4" s="9" t="s">
        <v>10</v>
      </c>
      <c r="E4" s="9">
        <v>-0.99995965589699576</v>
      </c>
      <c r="F4" s="9">
        <v>0</v>
      </c>
      <c r="G4" s="9">
        <v>0</v>
      </c>
    </row>
    <row r="5" spans="1:7">
      <c r="A5" s="9" t="s">
        <v>4</v>
      </c>
      <c r="B5" s="9">
        <v>0</v>
      </c>
      <c r="D5" s="9" t="s">
        <v>11</v>
      </c>
      <c r="E5" s="9">
        <v>-1.999890556833696</v>
      </c>
      <c r="F5" s="9">
        <v>0</v>
      </c>
      <c r="G5" s="9">
        <v>0</v>
      </c>
    </row>
    <row r="6" spans="1:7">
      <c r="A6" s="9" t="s">
        <v>5</v>
      </c>
      <c r="B6" s="9">
        <v>80426</v>
      </c>
    </row>
    <row r="7" spans="1:7">
      <c r="A7" s="9" t="s">
        <v>6</v>
      </c>
      <c r="B7" s="9"/>
    </row>
    <row r="8" spans="1:7">
      <c r="A8" s="9" t="s">
        <v>7</v>
      </c>
      <c r="B8" s="9" t="s">
        <v>8</v>
      </c>
      <c r="D8" s="2" t="s">
        <v>12</v>
      </c>
      <c r="E8" s="2" t="s">
        <v>9</v>
      </c>
      <c r="F8" s="2" t="s">
        <v>10</v>
      </c>
      <c r="G8" s="2" t="s">
        <v>11</v>
      </c>
    </row>
    <row r="9" spans="1:7">
      <c r="A9" s="9" t="s">
        <v>9</v>
      </c>
      <c r="B9" s="9">
        <v>8.8775018446192599E-13</v>
      </c>
      <c r="D9" s="2" t="s">
        <v>9</v>
      </c>
      <c r="E9" s="2">
        <v>0</v>
      </c>
      <c r="F9" s="2">
        <v>2</v>
      </c>
      <c r="G9" s="2">
        <v>1</v>
      </c>
    </row>
    <row r="10" spans="1:7">
      <c r="A10" s="9" t="s">
        <v>10</v>
      </c>
      <c r="B10" s="9">
        <v>1.4880636762030784E-13</v>
      </c>
      <c r="D10" s="2" t="s">
        <v>10</v>
      </c>
      <c r="E10" s="2">
        <v>-1</v>
      </c>
      <c r="F10" s="2">
        <v>0</v>
      </c>
      <c r="G10" s="2">
        <v>0</v>
      </c>
    </row>
    <row r="11" spans="1:7">
      <c r="A11" s="9" t="s">
        <v>11</v>
      </c>
      <c r="B11" s="9">
        <v>8.8520316993033616E-13</v>
      </c>
      <c r="D11" s="2" t="s">
        <v>11</v>
      </c>
      <c r="E11" s="2">
        <v>-2</v>
      </c>
      <c r="F11" s="2">
        <v>0</v>
      </c>
      <c r="G11" s="2">
        <v>0</v>
      </c>
    </row>
    <row r="13" spans="1:7">
      <c r="E13">
        <f>(E9-E3)^2</f>
        <v>0</v>
      </c>
      <c r="F13">
        <f t="shared" ref="F13:G13" si="0">(F9-F3)^2</f>
        <v>1.0581287554751695E-8</v>
      </c>
      <c r="G13">
        <f t="shared" si="0"/>
        <v>1.184451822520029E-8</v>
      </c>
    </row>
    <row r="14" spans="1:7">
      <c r="E14">
        <f t="shared" ref="E14:G15" si="1">(E10-E4)^2</f>
        <v>1.6276466472168673E-9</v>
      </c>
      <c r="F14">
        <f t="shared" si="1"/>
        <v>0</v>
      </c>
      <c r="G14">
        <f t="shared" si="1"/>
        <v>0</v>
      </c>
    </row>
    <row r="15" spans="1:7">
      <c r="E15">
        <f t="shared" si="1"/>
        <v>1.1977806650647838E-8</v>
      </c>
      <c r="F15">
        <f t="shared" si="1"/>
        <v>0</v>
      </c>
      <c r="G15">
        <f t="shared" si="1"/>
        <v>0</v>
      </c>
    </row>
    <row r="17" spans="5:5" ht="15">
      <c r="E17" s="4">
        <f>SUM(E13:G15)</f>
        <v>3.6031259077816692E-8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9" ma:contentTypeDescription="Create a new document." ma:contentTypeScope="" ma:versionID="43a679fe5cbd3b1dc01cea5b3bb6a16a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b0963d0390b393dc53bf13ff5a8315f4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EE723E-1688-4D1F-8FE6-FDF4658485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AD4690-B959-480E-AC59-DDDE87F8E768}">
  <ds:schemaRefs>
    <ds:schemaRef ds:uri="070f1269-45c1-4463-99ba-5dc4e57c7dff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7bf50b4b-6300-445a-aea1-306a2291592c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2EB7017-44D4-47C1-BB45-296DD07AF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</vt:i4>
      </vt:variant>
    </vt:vector>
  </HeadingPairs>
  <TitlesOfParts>
    <vt:vector size="26" baseType="lpstr">
      <vt:lpstr>B constant</vt:lpstr>
      <vt:lpstr>10.23</vt:lpstr>
      <vt:lpstr>10.22</vt:lpstr>
      <vt:lpstr>10.21</vt:lpstr>
      <vt:lpstr>10.20</vt:lpstr>
      <vt:lpstr>10.19</vt:lpstr>
      <vt:lpstr>10.18</vt:lpstr>
      <vt:lpstr>10.17</vt:lpstr>
      <vt:lpstr>10.16</vt:lpstr>
      <vt:lpstr>10.15</vt:lpstr>
      <vt:lpstr>10.14</vt:lpstr>
      <vt:lpstr>10.13</vt:lpstr>
      <vt:lpstr>10.12</vt:lpstr>
      <vt:lpstr>10.11</vt:lpstr>
      <vt:lpstr>10.10</vt:lpstr>
      <vt:lpstr>10.9</vt:lpstr>
      <vt:lpstr>10.8</vt:lpstr>
      <vt:lpstr>10.7</vt:lpstr>
      <vt:lpstr>10.6</vt:lpstr>
      <vt:lpstr>10.5</vt:lpstr>
      <vt:lpstr>10.4</vt:lpstr>
      <vt:lpstr>10.3</vt:lpstr>
      <vt:lpstr>10.2</vt:lpstr>
      <vt:lpstr>10.1</vt:lpstr>
      <vt:lpstr>10.0</vt:lpstr>
      <vt:lpstr>'B constant'!Print_Area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GRNmap</cp:lastModifiedBy>
  <cp:lastPrinted>2025-07-11T16:13:02Z</cp:lastPrinted>
  <dcterms:created xsi:type="dcterms:W3CDTF">2024-12-01T23:32:22Z</dcterms:created>
  <dcterms:modified xsi:type="dcterms:W3CDTF">2025-11-05T02:57:03Z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