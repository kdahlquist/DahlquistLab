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Figure 6/"/>
    </mc:Choice>
  </mc:AlternateContent>
  <xr:revisionPtr revIDLastSave="0" documentId="8_{68661059-C7A2-4618-9677-1A5A71AA4092}" xr6:coauthVersionLast="47" xr6:coauthVersionMax="47" xr10:uidLastSave="{00000000-0000-0000-0000-000000000000}"/>
  <bookViews>
    <workbookView minimized="1" xWindow="2052" yWindow="1284" windowWidth="17280" windowHeight="8880" activeTab="1" xr2:uid="{801D684F-A6E8-40E4-A00F-56C7510AE6D3}"/>
  </bookViews>
  <sheets>
    <sheet name="Stacked" sheetId="2" r:id="rId1"/>
    <sheet name="failed attem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7" i="2"/>
  <c r="B26" i="2"/>
  <c r="D2" i="2" s="1"/>
  <c r="C26" i="2"/>
  <c r="E2" i="2" s="1"/>
  <c r="B27" i="2"/>
  <c r="C27" i="2"/>
  <c r="D7" i="2" l="1"/>
  <c r="D9" i="2"/>
  <c r="D16" i="2"/>
  <c r="D8" i="2"/>
  <c r="E7" i="2"/>
  <c r="D17" i="2"/>
  <c r="E16" i="2"/>
  <c r="E8" i="2"/>
  <c r="E15" i="2"/>
  <c r="D15" i="2"/>
  <c r="E22" i="2"/>
  <c r="E14" i="2"/>
  <c r="E6" i="2"/>
  <c r="D22" i="2"/>
  <c r="D14" i="2"/>
  <c r="D6" i="2"/>
  <c r="E21" i="2"/>
  <c r="E13" i="2"/>
  <c r="E5" i="2"/>
  <c r="D21" i="2"/>
  <c r="D13" i="2"/>
  <c r="D5" i="2"/>
  <c r="E20" i="2"/>
  <c r="E12" i="2"/>
  <c r="E4" i="2"/>
  <c r="D20" i="2"/>
  <c r="D12" i="2"/>
  <c r="D4" i="2"/>
  <c r="E19" i="2"/>
  <c r="E11" i="2"/>
  <c r="E3" i="2"/>
  <c r="D19" i="2"/>
  <c r="D11" i="2"/>
  <c r="D3" i="2"/>
  <c r="E18" i="2"/>
  <c r="E10" i="2"/>
  <c r="D18" i="2"/>
  <c r="D10" i="2"/>
  <c r="V17" i="1"/>
  <c r="W17" i="1"/>
  <c r="S17" i="1"/>
  <c r="N17" i="1"/>
  <c r="O17" i="1"/>
  <c r="P17" i="1"/>
  <c r="Q17" i="1"/>
  <c r="R17" i="1"/>
  <c r="T17" i="1"/>
  <c r="U17" i="1"/>
  <c r="X17" i="1"/>
  <c r="M17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45" i="1"/>
  <c r="H45" i="1"/>
  <c r="I45" i="1"/>
</calcChain>
</file>

<file path=xl/sharedStrings.xml><?xml version="1.0" encoding="utf-8"?>
<sst xmlns="http://schemas.openxmlformats.org/spreadsheetml/2006/main" count="260" uniqueCount="133">
  <si>
    <t>gene</t>
  </si>
  <si>
    <t>timepoint</t>
  </si>
  <si>
    <t>ACE2</t>
  </si>
  <si>
    <t>strain</t>
  </si>
  <si>
    <t>wild type</t>
  </si>
  <si>
    <t>ZAP1</t>
  </si>
  <si>
    <r>
      <t>Δ</t>
    </r>
    <r>
      <rPr>
        <i/>
        <sz val="12"/>
        <color theme="1"/>
        <rFont val="Times New Roman"/>
        <family val="1"/>
      </rPr>
      <t>cin5</t>
    </r>
  </si>
  <si>
    <t>MSN2</t>
  </si>
  <si>
    <t>CIN5</t>
  </si>
  <si>
    <t>YOX1</t>
  </si>
  <si>
    <t>STB5</t>
  </si>
  <si>
    <t>GCR2</t>
  </si>
  <si>
    <t>SWI5</t>
  </si>
  <si>
    <r>
      <t>Δ</t>
    </r>
    <r>
      <rPr>
        <i/>
        <sz val="12"/>
        <color theme="1"/>
        <rFont val="Times New Roman"/>
        <family val="1"/>
      </rPr>
      <t>hap4</t>
    </r>
  </si>
  <si>
    <t>SWI4</t>
  </si>
  <si>
    <r>
      <t>Δ</t>
    </r>
    <r>
      <rPr>
        <i/>
        <sz val="12"/>
        <color theme="1"/>
        <rFont val="Times New Roman"/>
        <family val="1"/>
      </rPr>
      <t>hmo1</t>
    </r>
  </si>
  <si>
    <t>SBT5</t>
  </si>
  <si>
    <r>
      <t>Δ</t>
    </r>
    <r>
      <rPr>
        <i/>
        <sz val="12"/>
        <color theme="1"/>
        <rFont val="Times New Roman"/>
        <family val="1"/>
      </rPr>
      <t>zap1</t>
    </r>
  </si>
  <si>
    <t>number of missing values DB5</t>
  </si>
  <si>
    <t>number of missing values DB1</t>
  </si>
  <si>
    <t>number of missing values DB2</t>
  </si>
  <si>
    <t>AFT2</t>
  </si>
  <si>
    <t>GCN4</t>
  </si>
  <si>
    <t>GLN3</t>
  </si>
  <si>
    <t>SFP1</t>
  </si>
  <si>
    <r>
      <t>Δ</t>
    </r>
    <r>
      <rPr>
        <i/>
        <sz val="12"/>
        <color theme="1"/>
        <rFont val="Times New Roman"/>
        <family val="1"/>
      </rPr>
      <t>gln3</t>
    </r>
  </si>
  <si>
    <t>NA</t>
  </si>
  <si>
    <t>Regulator</t>
  </si>
  <si>
    <t>Target</t>
  </si>
  <si>
    <t>w when α value = 0.002 (missing)</t>
  </si>
  <si>
    <t>w when α value = 0.002 (no missing)</t>
  </si>
  <si>
    <t>w when α value = 0.02 (missing)</t>
  </si>
  <si>
    <t>w when α value = 0.02 (no missing)</t>
  </si>
  <si>
    <t>ASH1</t>
  </si>
  <si>
    <t>YHP1</t>
  </si>
  <si>
    <t>HAP4</t>
  </si>
  <si>
    <t>HMO1</t>
  </si>
  <si>
    <r>
      <t> </t>
    </r>
    <r>
      <rPr>
        <sz val="10"/>
        <color rgb="FF000000"/>
        <rFont val="Aptos"/>
        <family val="2"/>
      </rPr>
      <t>1368.4%</t>
    </r>
  </si>
  <si>
    <t>Average</t>
  </si>
  <si>
    <t>St dev</t>
  </si>
  <si>
    <t>Network</t>
  </si>
  <si>
    <t>Alpha Value</t>
  </si>
  <si>
    <t>Average Weight Mean Difference Percent</t>
  </si>
  <si>
    <t>DB1</t>
  </si>
  <si>
    <t>DB5</t>
  </si>
  <si>
    <t>DB2</t>
  </si>
  <si>
    <t>Parameter</t>
  </si>
  <si>
    <t>Penalty Term</t>
  </si>
  <si>
    <t>LSE</t>
  </si>
  <si>
    <t>minLSE</t>
  </si>
  <si>
    <t>Iteration Count</t>
  </si>
  <si>
    <t>DB1 (α value = 0.002) with missing values</t>
  </si>
  <si>
    <t>DB1 (α value = 0.002) with no missing values</t>
  </si>
  <si>
    <t>DB2 (α value = 0.002) with missing values</t>
  </si>
  <si>
    <t>DB2 (α value = 0.002) with no missing values</t>
  </si>
  <si>
    <t>DB5 (α value = 0.002) with missing values</t>
  </si>
  <si>
    <t>DB5 (α value = 0.002) with no missing values</t>
  </si>
  <si>
    <t>DB1 (α value = 0.02) with no missing values</t>
  </si>
  <si>
    <t>DB2 (α value = 0.02) with no missing values</t>
  </si>
  <si>
    <t>DB5 (α value = 0.02) with no missing values</t>
  </si>
  <si>
    <t>LSE:minLSE Ratio</t>
  </si>
  <si>
    <t>DB1 (α value = 0.02) with missing values</t>
  </si>
  <si>
    <t>DB2 (α value = 0.02) with missing values</t>
  </si>
  <si>
    <t>DB5 (α value = 0.02) with missing values</t>
  </si>
  <si>
    <t>Penalty</t>
  </si>
  <si>
    <t>min LSE</t>
  </si>
  <si>
    <t>iteration count</t>
  </si>
  <si>
    <t>Value</t>
  </si>
  <si>
    <t>alpha</t>
  </si>
  <si>
    <t>kk_max</t>
  </si>
  <si>
    <t>MaxIter</t>
  </si>
  <si>
    <t>TolFun</t>
  </si>
  <si>
    <t>MaxFunEval</t>
  </si>
  <si>
    <t>TolX</t>
  </si>
  <si>
    <t>DB1, DB2, and DB5</t>
  </si>
  <si>
    <t>3-gene, 4-edge networks</t>
  </si>
  <si>
    <t>Rank</t>
  </si>
  <si>
    <t>Trial</t>
  </si>
  <si>
    <r>
      <t xml:space="preserve">Estimate </t>
    </r>
    <r>
      <rPr>
        <b/>
        <i/>
        <sz val="11"/>
        <color theme="1"/>
        <rFont val="Times New Roman"/>
        <family val="1"/>
      </rPr>
      <t>P, b, w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</si>
  <si>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 xml:space="preserve"> and</t>
    </r>
    <r>
      <rPr>
        <b/>
        <i/>
        <sz val="11"/>
        <color theme="1"/>
        <rFont val="Times New Roman"/>
        <family val="1"/>
      </rPr>
      <t xml:space="preserve"> w b </t>
    </r>
    <r>
      <rPr>
        <b/>
        <sz val="11"/>
        <color theme="1"/>
        <rFont val="Times New Roman"/>
        <family val="1"/>
      </rPr>
      <t xml:space="preserve"> held constant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</si>
  <si>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and </t>
    </r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 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>held constant</t>
    </r>
  </si>
  <si>
    <t>Sum</t>
  </si>
  <si>
    <t>Rank </t>
  </si>
  <si>
    <r>
      <t xml:space="preserve">Estimate </t>
    </r>
    <r>
      <rPr>
        <i/>
        <sz val="12"/>
        <color theme="1"/>
        <rFont val="Times New Roman"/>
        <family val="1"/>
      </rPr>
      <t>P, b, w</t>
    </r>
    <r>
      <rPr>
        <sz val="12"/>
        <color theme="1"/>
        <rFont val="Times New Roman"/>
        <family val="1"/>
      </rPr>
      <t> </t>
    </r>
  </si>
  <si>
    <r>
      <t xml:space="preserve">Estimate </t>
    </r>
    <r>
      <rPr>
        <i/>
        <sz val="12"/>
        <color theme="1"/>
        <rFont val="Times New Roman"/>
        <family val="1"/>
      </rPr>
      <t>w</t>
    </r>
    <r>
      <rPr>
        <sz val="12"/>
        <color theme="1"/>
        <rFont val="Times New Roman"/>
        <family val="1"/>
      </rPr>
      <t>       </t>
    </r>
  </si>
  <si>
    <t>1 </t>
  </si>
  <si>
    <t>1.6927E-12 </t>
  </si>
  <si>
    <t>2 </t>
  </si>
  <si>
    <t>6.2412E-11 </t>
  </si>
  <si>
    <t>3 </t>
  </si>
  <si>
    <t>1.2760E-09 </t>
  </si>
  <si>
    <t>4 </t>
  </si>
  <si>
    <t>8.4351E-09 </t>
  </si>
  <si>
    <t>5 </t>
  </si>
  <si>
    <t>4.2708E-10 </t>
  </si>
  <si>
    <t>6 </t>
  </si>
  <si>
    <t>3.7478 </t>
  </si>
  <si>
    <t>1.3415E-11 </t>
  </si>
  <si>
    <t>7 </t>
  </si>
  <si>
    <t>3.9196E-11 </t>
  </si>
  <si>
    <t>8 </t>
  </si>
  <si>
    <t>4.3225E-11 </t>
  </si>
  <si>
    <t>9 </t>
  </si>
  <si>
    <t>3.4098E-09 </t>
  </si>
  <si>
    <t>10 </t>
  </si>
  <si>
    <t>4.9337E-10 </t>
  </si>
  <si>
    <t>11 </t>
  </si>
  <si>
    <t>8.4445E-12 </t>
  </si>
  <si>
    <t>12 </t>
  </si>
  <si>
    <t>2.3978E-08 </t>
  </si>
  <si>
    <t>13 </t>
  </si>
  <si>
    <t>4.4999 </t>
  </si>
  <si>
    <t>14 </t>
  </si>
  <si>
    <t>4.5001 </t>
  </si>
  <si>
    <t>15 </t>
  </si>
  <si>
    <t>16 </t>
  </si>
  <si>
    <t>7.4670 </t>
  </si>
  <si>
    <t>17 </t>
  </si>
  <si>
    <t>0.0032 </t>
  </si>
  <si>
    <t>18 </t>
  </si>
  <si>
    <t>2.6854E-10 </t>
  </si>
  <si>
    <t>19 </t>
  </si>
  <si>
    <t>6.4618E-10 </t>
  </si>
  <si>
    <t>20 </t>
  </si>
  <si>
    <t>9.9871 </t>
  </si>
  <si>
    <t>21 </t>
  </si>
  <si>
    <t>7.9428E-10 </t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</si>
  <si>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w; P </t>
    </r>
    <r>
      <rPr>
        <b/>
        <sz val="11"/>
        <color theme="1"/>
        <rFont val="Times New Roman"/>
        <family val="1"/>
      </rPr>
      <t xml:space="preserve"> and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 held constant</t>
    </r>
  </si>
  <si>
    <t>Median</t>
  </si>
  <si>
    <t>originally ranked 7th</t>
  </si>
  <si>
    <t>Calculated LSE No Const</t>
  </si>
  <si>
    <t>Calculated LSE Pb Const</t>
  </si>
  <si>
    <t>Trial Pb 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</si>
</sst>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E+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ptos"/>
      <family val="2"/>
    </font>
    <font>
      <sz val="8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10" fontId="9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6" fillId="2" borderId="4" xfId="1" applyNumberFormat="1" applyFont="1" applyFill="1" applyBorder="1" applyAlignment="1">
      <alignment vertical="center" wrapText="1"/>
    </xf>
    <xf numFmtId="2" fontId="6" fillId="2" borderId="4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0" fontId="10" fillId="0" borderId="0" xfId="0" applyFont="1"/>
    <xf numFmtId="11" fontId="10" fillId="0" borderId="0" xfId="0" applyNumberFormat="1" applyFont="1"/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6" fontId="12" fillId="0" borderId="5" xfId="0" applyNumberFormat="1" applyFont="1" applyBorder="1" applyAlignment="1">
      <alignment horizontal="center"/>
    </xf>
    <xf numFmtId="0" fontId="15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2" fillId="0" borderId="8" xfId="0" applyNumberFormat="1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64" fontId="0" fillId="0" borderId="0" xfId="0" applyNumberFormat="1"/>
    <xf numFmtId="166" fontId="0" fillId="0" borderId="0" xfId="0" applyNumberFormat="1"/>
    <xf numFmtId="0" fontId="16" fillId="0" borderId="0" xfId="0" applyFont="1"/>
  </cellXfs>
  <cellStyles count="5">
    <cellStyle name="Normal" xfId="0" builtinId="0"/>
    <cellStyle name="Normal 2" xfId="4" xr:uid="{336983FB-641B-4A21-9602-5DC8E97C5193}"/>
    <cellStyle name="Normal 3" xfId="3" xr:uid="{7D8B13A9-7861-48F5-A658-219720C33C47}"/>
    <cellStyle name="Normal 4" xfId="2" xr:uid="{A926091B-F44E-4928-9F53-126264634922}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border outline="0">
        <left style="thin">
          <color rgb="FF000000"/>
        </left>
        <right style="medium">
          <color indexed="64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0000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2568011610625"/>
          <c:y val="4.3718070083477417E-2"/>
          <c:w val="0.83210524728733615"/>
          <c:h val="0.8288699701043825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Stacked!$A$2:$A$22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Stacked!$B$2:$B$22</c:f>
              <c:numCache>
                <c:formatCode>0.0000E+00</c:formatCode>
                <c:ptCount val="21"/>
                <c:pt idx="0">
                  <c:v>1.6926700000000001E-12</c:v>
                </c:pt>
                <c:pt idx="1">
                  <c:v>6.2412399999999997E-11</c:v>
                </c:pt>
                <c:pt idx="2">
                  <c:v>1.2759999999999999E-9</c:v>
                </c:pt>
                <c:pt idx="3">
                  <c:v>8.4351199999999993E-9</c:v>
                </c:pt>
                <c:pt idx="4">
                  <c:v>4.2707800000000002E-10</c:v>
                </c:pt>
                <c:pt idx="5">
                  <c:v>1.34146E-11</c:v>
                </c:pt>
                <c:pt idx="6">
                  <c:v>3.9195599999999997E-11</c:v>
                </c:pt>
                <c:pt idx="7">
                  <c:v>4.3224999999999998E-11</c:v>
                </c:pt>
                <c:pt idx="8">
                  <c:v>3.4098399999999999E-9</c:v>
                </c:pt>
                <c:pt idx="9">
                  <c:v>4.9336599999999999E-10</c:v>
                </c:pt>
                <c:pt idx="10">
                  <c:v>8.4445200000000005E-12</c:v>
                </c:pt>
                <c:pt idx="11">
                  <c:v>2.3978000000000001E-8</c:v>
                </c:pt>
                <c:pt idx="12" formatCode="0.0000">
                  <c:v>4.4999161460000003</c:v>
                </c:pt>
                <c:pt idx="13" formatCode="0.0000">
                  <c:v>4.5001084450000004</c:v>
                </c:pt>
                <c:pt idx="14" formatCode="0.0000">
                  <c:v>3.7478482199999998</c:v>
                </c:pt>
                <c:pt idx="15" formatCode="0.0000">
                  <c:v>7.4670175959999998</c:v>
                </c:pt>
                <c:pt idx="16" formatCode="0.0000">
                  <c:v>3.153739E-3</c:v>
                </c:pt>
                <c:pt idx="17">
                  <c:v>2.6853700000000001E-10</c:v>
                </c:pt>
                <c:pt idx="18">
                  <c:v>6.4617900000000003E-10</c:v>
                </c:pt>
                <c:pt idx="19" formatCode="0.0000">
                  <c:v>9.9870957019999995</c:v>
                </c:pt>
                <c:pt idx="20">
                  <c:v>7.9427500000000003E-10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7-4627-93B7-D50C3B066843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Stacked!$A$2:$A$22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Stacked!$C$2:$C$22</c:f>
              <c:numCache>
                <c:formatCode>0.0000</c:formatCode>
                <c:ptCount val="21"/>
                <c:pt idx="0">
                  <c:v>2.0856817999999999E-2</c:v>
                </c:pt>
                <c:pt idx="1">
                  <c:v>6.5284122E-2</c:v>
                </c:pt>
                <c:pt idx="2">
                  <c:v>0.64156040199999997</c:v>
                </c:pt>
                <c:pt idx="3">
                  <c:v>1.553205822</c:v>
                </c:pt>
                <c:pt idx="4">
                  <c:v>2.515817744</c:v>
                </c:pt>
                <c:pt idx="5">
                  <c:v>2.1391358999999999E-2</c:v>
                </c:pt>
                <c:pt idx="6">
                  <c:v>2.2486088560000002</c:v>
                </c:pt>
                <c:pt idx="7">
                  <c:v>4.1162418000000001</c:v>
                </c:pt>
                <c:pt idx="8">
                  <c:v>3.8275664659999999</c:v>
                </c:pt>
                <c:pt idx="9">
                  <c:v>1.113756118</c:v>
                </c:pt>
                <c:pt idx="10">
                  <c:v>7.9774977999999996E-2</c:v>
                </c:pt>
                <c:pt idx="11">
                  <c:v>4.5806138980000002</c:v>
                </c:pt>
                <c:pt idx="12">
                  <c:v>4.4742410159999997</c:v>
                </c:pt>
                <c:pt idx="13">
                  <c:v>6.8499549880000004</c:v>
                </c:pt>
                <c:pt idx="14">
                  <c:v>5.9285567019999998</c:v>
                </c:pt>
                <c:pt idx="15">
                  <c:v>8.8409890549999997</c:v>
                </c:pt>
                <c:pt idx="16">
                  <c:v>5.2996438589999997</c:v>
                </c:pt>
                <c:pt idx="17">
                  <c:v>0.60187746399999997</c:v>
                </c:pt>
                <c:pt idx="18">
                  <c:v>0.27386723800000001</c:v>
                </c:pt>
                <c:pt idx="19">
                  <c:v>26.96019235</c:v>
                </c:pt>
                <c:pt idx="20">
                  <c:v>4.9844587770000004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7-4627-93B7-D50C3B06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631344"/>
        <c:axId val="947630384"/>
      </c:barChart>
      <c:catAx>
        <c:axId val="94763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0384"/>
        <c:crossesAt val="1.0000000000000007E-13"/>
        <c:auto val="1"/>
        <c:lblAlgn val="ctr"/>
        <c:lblOffset val="100"/>
        <c:noMultiLvlLbl val="0"/>
      </c:catAx>
      <c:valAx>
        <c:axId val="947630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sz="500"/>
                  <a:t>10</a:t>
                </a:r>
                <a:r>
                  <a:rPr lang="en-US" sz="1000" baseline="0"/>
                  <a:t> of the LSE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2568011610625"/>
          <c:y val="4.3718070083477417E-2"/>
          <c:w val="0.83210524728733615"/>
          <c:h val="0.8288699701043825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Stacked!$A$2:$A$22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Stacked!$B$2:$B$22</c:f>
              <c:numCache>
                <c:formatCode>0.0000E+00</c:formatCode>
                <c:ptCount val="21"/>
                <c:pt idx="0">
                  <c:v>1.6926700000000001E-12</c:v>
                </c:pt>
                <c:pt idx="1">
                  <c:v>6.2412399999999997E-11</c:v>
                </c:pt>
                <c:pt idx="2">
                  <c:v>1.2759999999999999E-9</c:v>
                </c:pt>
                <c:pt idx="3">
                  <c:v>8.4351199999999993E-9</c:v>
                </c:pt>
                <c:pt idx="4">
                  <c:v>4.2707800000000002E-10</c:v>
                </c:pt>
                <c:pt idx="5">
                  <c:v>1.34146E-11</c:v>
                </c:pt>
                <c:pt idx="6">
                  <c:v>3.9195599999999997E-11</c:v>
                </c:pt>
                <c:pt idx="7">
                  <c:v>4.3224999999999998E-11</c:v>
                </c:pt>
                <c:pt idx="8">
                  <c:v>3.4098399999999999E-9</c:v>
                </c:pt>
                <c:pt idx="9">
                  <c:v>4.9336599999999999E-10</c:v>
                </c:pt>
                <c:pt idx="10">
                  <c:v>8.4445200000000005E-12</c:v>
                </c:pt>
                <c:pt idx="11">
                  <c:v>2.3978000000000001E-8</c:v>
                </c:pt>
                <c:pt idx="12" formatCode="0.0000">
                  <c:v>4.4999161460000003</c:v>
                </c:pt>
                <c:pt idx="13" formatCode="0.0000">
                  <c:v>4.5001084450000004</c:v>
                </c:pt>
                <c:pt idx="14" formatCode="0.0000">
                  <c:v>3.7478482199999998</c:v>
                </c:pt>
                <c:pt idx="15" formatCode="0.0000">
                  <c:v>7.4670175959999998</c:v>
                </c:pt>
                <c:pt idx="16" formatCode="0.0000">
                  <c:v>3.153739E-3</c:v>
                </c:pt>
                <c:pt idx="17">
                  <c:v>2.6853700000000001E-10</c:v>
                </c:pt>
                <c:pt idx="18">
                  <c:v>6.4617900000000003E-10</c:v>
                </c:pt>
                <c:pt idx="19" formatCode="0.0000">
                  <c:v>9.9870957019999995</c:v>
                </c:pt>
                <c:pt idx="20">
                  <c:v>7.9427500000000003E-10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A-4B42-8A78-484D3378758D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Stacked!$A$2:$A$22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Stacked!$C$2:$C$22</c:f>
              <c:numCache>
                <c:formatCode>0.0000</c:formatCode>
                <c:ptCount val="21"/>
                <c:pt idx="0">
                  <c:v>2.0856817999999999E-2</c:v>
                </c:pt>
                <c:pt idx="1">
                  <c:v>6.5284122E-2</c:v>
                </c:pt>
                <c:pt idx="2">
                  <c:v>0.64156040199999997</c:v>
                </c:pt>
                <c:pt idx="3">
                  <c:v>1.553205822</c:v>
                </c:pt>
                <c:pt idx="4">
                  <c:v>2.515817744</c:v>
                </c:pt>
                <c:pt idx="5">
                  <c:v>2.1391358999999999E-2</c:v>
                </c:pt>
                <c:pt idx="6">
                  <c:v>2.2486088560000002</c:v>
                </c:pt>
                <c:pt idx="7">
                  <c:v>4.1162418000000001</c:v>
                </c:pt>
                <c:pt idx="8">
                  <c:v>3.8275664659999999</c:v>
                </c:pt>
                <c:pt idx="9">
                  <c:v>1.113756118</c:v>
                </c:pt>
                <c:pt idx="10">
                  <c:v>7.9774977999999996E-2</c:v>
                </c:pt>
                <c:pt idx="11">
                  <c:v>4.5806138980000002</c:v>
                </c:pt>
                <c:pt idx="12">
                  <c:v>4.4742410159999997</c:v>
                </c:pt>
                <c:pt idx="13">
                  <c:v>6.8499549880000004</c:v>
                </c:pt>
                <c:pt idx="14">
                  <c:v>5.9285567019999998</c:v>
                </c:pt>
                <c:pt idx="15">
                  <c:v>8.8409890549999997</c:v>
                </c:pt>
                <c:pt idx="16">
                  <c:v>5.2996438589999997</c:v>
                </c:pt>
                <c:pt idx="17">
                  <c:v>0.60187746399999997</c:v>
                </c:pt>
                <c:pt idx="18">
                  <c:v>0.27386723800000001</c:v>
                </c:pt>
                <c:pt idx="19">
                  <c:v>26.96019235</c:v>
                </c:pt>
                <c:pt idx="20">
                  <c:v>4.9844587770000004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A-4B42-8A78-484D3378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631344"/>
        <c:axId val="947630384"/>
      </c:barChart>
      <c:lineChart>
        <c:grouping val="standard"/>
        <c:varyColors val="0"/>
        <c:ser>
          <c:idx val="2"/>
          <c:order val="2"/>
          <c:tx>
            <c:v>line1</c:v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Stacked!$D$2:$D$22</c:f>
              <c:numCache>
                <c:formatCode>General</c:formatCode>
                <c:ptCount val="21"/>
                <c:pt idx="0">
                  <c:v>7.9427500000000003E-10</c:v>
                </c:pt>
                <c:pt idx="1">
                  <c:v>7.9427500000000003E-10</c:v>
                </c:pt>
                <c:pt idx="2">
                  <c:v>7.9427500000000003E-10</c:v>
                </c:pt>
                <c:pt idx="3">
                  <c:v>7.9427500000000003E-10</c:v>
                </c:pt>
                <c:pt idx="4">
                  <c:v>7.9427500000000003E-10</c:v>
                </c:pt>
                <c:pt idx="5">
                  <c:v>7.9427500000000003E-10</c:v>
                </c:pt>
                <c:pt idx="6">
                  <c:v>7.9427500000000003E-10</c:v>
                </c:pt>
                <c:pt idx="7">
                  <c:v>7.9427500000000003E-10</c:v>
                </c:pt>
                <c:pt idx="8">
                  <c:v>7.9427500000000003E-10</c:v>
                </c:pt>
                <c:pt idx="9">
                  <c:v>7.9427500000000003E-10</c:v>
                </c:pt>
                <c:pt idx="10">
                  <c:v>7.9427500000000003E-10</c:v>
                </c:pt>
                <c:pt idx="11">
                  <c:v>7.9427500000000003E-10</c:v>
                </c:pt>
                <c:pt idx="12">
                  <c:v>7.9427500000000003E-10</c:v>
                </c:pt>
                <c:pt idx="13">
                  <c:v>7.9427500000000003E-10</c:v>
                </c:pt>
                <c:pt idx="14">
                  <c:v>7.9427500000000003E-10</c:v>
                </c:pt>
                <c:pt idx="15">
                  <c:v>7.9427500000000003E-10</c:v>
                </c:pt>
                <c:pt idx="16">
                  <c:v>7.9427500000000003E-10</c:v>
                </c:pt>
                <c:pt idx="17">
                  <c:v>7.9427500000000003E-10</c:v>
                </c:pt>
                <c:pt idx="18">
                  <c:v>7.9427500000000003E-10</c:v>
                </c:pt>
                <c:pt idx="19">
                  <c:v>7.9427500000000003E-10</c:v>
                </c:pt>
                <c:pt idx="20">
                  <c:v>7.9427500000000003E-10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A-4B42-8A78-484D3378758D}"/>
            </c:ext>
          </c:extLst>
        </c:ser>
        <c:ser>
          <c:idx val="3"/>
          <c:order val="3"/>
          <c:tx>
            <c:v>line2</c:v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Stacked!$E$2:$E$22</c:f>
              <c:numCache>
                <c:formatCode>General</c:formatCode>
                <c:ptCount val="21"/>
                <c:pt idx="0">
                  <c:v>2.515817744</c:v>
                </c:pt>
                <c:pt idx="1">
                  <c:v>2.515817744</c:v>
                </c:pt>
                <c:pt idx="2">
                  <c:v>2.515817744</c:v>
                </c:pt>
                <c:pt idx="3">
                  <c:v>2.515817744</c:v>
                </c:pt>
                <c:pt idx="4">
                  <c:v>2.515817744</c:v>
                </c:pt>
                <c:pt idx="5">
                  <c:v>2.515817744</c:v>
                </c:pt>
                <c:pt idx="6">
                  <c:v>2.515817744</c:v>
                </c:pt>
                <c:pt idx="7">
                  <c:v>2.515817744</c:v>
                </c:pt>
                <c:pt idx="8">
                  <c:v>2.515817744</c:v>
                </c:pt>
                <c:pt idx="9">
                  <c:v>2.515817744</c:v>
                </c:pt>
                <c:pt idx="10">
                  <c:v>2.515817744</c:v>
                </c:pt>
                <c:pt idx="11">
                  <c:v>2.515817744</c:v>
                </c:pt>
                <c:pt idx="12">
                  <c:v>2.515817744</c:v>
                </c:pt>
                <c:pt idx="13">
                  <c:v>2.515817744</c:v>
                </c:pt>
                <c:pt idx="14">
                  <c:v>2.515817744</c:v>
                </c:pt>
                <c:pt idx="15">
                  <c:v>2.515817744</c:v>
                </c:pt>
                <c:pt idx="16">
                  <c:v>2.515817744</c:v>
                </c:pt>
                <c:pt idx="17">
                  <c:v>2.515817744</c:v>
                </c:pt>
                <c:pt idx="18">
                  <c:v>2.515817744</c:v>
                </c:pt>
                <c:pt idx="19">
                  <c:v>2.515817744</c:v>
                </c:pt>
                <c:pt idx="20">
                  <c:v>2.515817744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A-4B42-8A78-484D3378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31344"/>
        <c:axId val="947630384"/>
      </c:lineChart>
      <c:catAx>
        <c:axId val="9476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0384"/>
        <c:crossesAt val="1.0000000000000007E-13"/>
        <c:auto val="1"/>
        <c:lblAlgn val="ctr"/>
        <c:lblOffset val="100"/>
        <c:noMultiLvlLbl val="0"/>
      </c:catAx>
      <c:valAx>
        <c:axId val="947630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sz="500"/>
                  <a:t>10</a:t>
                </a:r>
                <a:r>
                  <a:rPr lang="en-US" sz="1000" baseline="0"/>
                  <a:t> of the LSE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'failed attempt'!$N$71</c:f>
              <c:strCache>
                <c:ptCount val="1"/>
                <c:pt idx="0">
                  <c:v>Estimate P, b, w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'failed attempt'!$N$72:$N$92</c:f>
              <c:numCache>
                <c:formatCode>0.00</c:formatCode>
                <c:ptCount val="21"/>
                <c:pt idx="0">
                  <c:v>2.0899999999999998E-2</c:v>
                </c:pt>
                <c:pt idx="1">
                  <c:v>6.5299999999999997E-2</c:v>
                </c:pt>
                <c:pt idx="2">
                  <c:v>0.64159999999999995</c:v>
                </c:pt>
                <c:pt idx="3">
                  <c:v>1.5531999999999999</c:v>
                </c:pt>
                <c:pt idx="4">
                  <c:v>2.5158</c:v>
                </c:pt>
                <c:pt idx="5">
                  <c:v>2.1399999999999999E-2</c:v>
                </c:pt>
                <c:pt idx="6">
                  <c:v>2.2486000000000002</c:v>
                </c:pt>
                <c:pt idx="7">
                  <c:v>4.1162000000000001</c:v>
                </c:pt>
                <c:pt idx="8">
                  <c:v>3.8275999999999999</c:v>
                </c:pt>
                <c:pt idx="9">
                  <c:v>1.1137999999999999</c:v>
                </c:pt>
                <c:pt idx="10">
                  <c:v>7.9799999999999996E-2</c:v>
                </c:pt>
                <c:pt idx="11">
                  <c:v>4.5805999999999996</c:v>
                </c:pt>
                <c:pt idx="12">
                  <c:v>4.4741999999999997</c:v>
                </c:pt>
                <c:pt idx="13">
                  <c:v>6.85</c:v>
                </c:pt>
                <c:pt idx="14">
                  <c:v>5.9286000000000003</c:v>
                </c:pt>
                <c:pt idx="15">
                  <c:v>8.8409999999999993</c:v>
                </c:pt>
                <c:pt idx="16">
                  <c:v>5.2995999999999999</c:v>
                </c:pt>
                <c:pt idx="17">
                  <c:v>0.60189999999999999</c:v>
                </c:pt>
                <c:pt idx="18">
                  <c:v>0.27389999999999998</c:v>
                </c:pt>
                <c:pt idx="19">
                  <c:v>26.9602</c:v>
                </c:pt>
                <c:pt idx="20">
                  <c:v>4.9844999999999997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8-46D4-A08F-0AA14E92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4821823"/>
        <c:axId val="1908283215"/>
      </c:barChart>
      <c:catAx>
        <c:axId val="11148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83215"/>
        <c:crosses val="autoZero"/>
        <c:auto val="1"/>
        <c:lblAlgn val="ctr"/>
        <c:lblOffset val="100"/>
        <c:noMultiLvlLbl val="0"/>
      </c:catAx>
      <c:valAx>
        <c:axId val="190828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2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'failed attempt'!$O$99</c:f>
              <c:strCache>
                <c:ptCount val="1"/>
                <c:pt idx="0">
                  <c:v>Estimate P, b, 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'failed attempt'!$O$100:$O$120</c:f>
              <c:numCache>
                <c:formatCode>0.0000</c:formatCode>
                <c:ptCount val="21"/>
                <c:pt idx="0">
                  <c:v>2.0856817999999999E-2</c:v>
                </c:pt>
                <c:pt idx="1">
                  <c:v>6.5284122E-2</c:v>
                </c:pt>
                <c:pt idx="2">
                  <c:v>0.64156040199999997</c:v>
                </c:pt>
                <c:pt idx="3">
                  <c:v>1.553205822</c:v>
                </c:pt>
                <c:pt idx="4">
                  <c:v>2.515817744</c:v>
                </c:pt>
                <c:pt idx="5">
                  <c:v>2.1391358999999999E-2</c:v>
                </c:pt>
                <c:pt idx="6">
                  <c:v>2.2486088560000002</c:v>
                </c:pt>
                <c:pt idx="7">
                  <c:v>4.1162418000000001</c:v>
                </c:pt>
                <c:pt idx="8">
                  <c:v>3.8275664659999999</c:v>
                </c:pt>
                <c:pt idx="9">
                  <c:v>1.113756118</c:v>
                </c:pt>
                <c:pt idx="10">
                  <c:v>7.9774977999999996E-2</c:v>
                </c:pt>
                <c:pt idx="11">
                  <c:v>4.5806138980000002</c:v>
                </c:pt>
                <c:pt idx="12">
                  <c:v>4.4742410159999997</c:v>
                </c:pt>
                <c:pt idx="13">
                  <c:v>6.8499549880000004</c:v>
                </c:pt>
                <c:pt idx="14">
                  <c:v>5.9285567019999998</c:v>
                </c:pt>
                <c:pt idx="15">
                  <c:v>8.8409890549999997</c:v>
                </c:pt>
                <c:pt idx="16">
                  <c:v>5.2996438589999997</c:v>
                </c:pt>
                <c:pt idx="17">
                  <c:v>0.60187746399999997</c:v>
                </c:pt>
                <c:pt idx="18">
                  <c:v>0.27386723800000001</c:v>
                </c:pt>
                <c:pt idx="19">
                  <c:v>26.96019235</c:v>
                </c:pt>
                <c:pt idx="20">
                  <c:v>4.9844587770000004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C-4A3C-8D37-33ADB39A0A7A}"/>
            </c:ext>
          </c:extLst>
        </c:ser>
        <c:ser>
          <c:idx val="5"/>
          <c:order val="1"/>
          <c:tx>
            <c:strRef>
              <c:f>'failed attempt'!$R$99</c:f>
              <c:strCache>
                <c:ptCount val="1"/>
                <c:pt idx="0">
                  <c:v>Estimate w; P  and b  held constant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'failed attempt'!$R$100:$R$120</c:f>
              <c:numCache>
                <c:formatCode>0.0000E+00</c:formatCode>
                <c:ptCount val="21"/>
                <c:pt idx="0">
                  <c:v>1.6926700000000001E-12</c:v>
                </c:pt>
                <c:pt idx="1">
                  <c:v>6.2412399999999997E-11</c:v>
                </c:pt>
                <c:pt idx="2">
                  <c:v>1.2759999999999999E-9</c:v>
                </c:pt>
                <c:pt idx="3">
                  <c:v>8.4351199999999993E-9</c:v>
                </c:pt>
                <c:pt idx="4">
                  <c:v>4.2707800000000002E-10</c:v>
                </c:pt>
                <c:pt idx="5">
                  <c:v>1.34146E-11</c:v>
                </c:pt>
                <c:pt idx="6">
                  <c:v>3.9195599999999997E-11</c:v>
                </c:pt>
                <c:pt idx="7">
                  <c:v>4.3224999999999998E-11</c:v>
                </c:pt>
                <c:pt idx="8">
                  <c:v>3.4098399999999999E-9</c:v>
                </c:pt>
                <c:pt idx="9">
                  <c:v>4.9336599999999999E-10</c:v>
                </c:pt>
                <c:pt idx="10">
                  <c:v>8.4445200000000005E-12</c:v>
                </c:pt>
                <c:pt idx="11">
                  <c:v>2.3978000000000001E-8</c:v>
                </c:pt>
                <c:pt idx="12" formatCode="0.0000">
                  <c:v>4.4999161460000003</c:v>
                </c:pt>
                <c:pt idx="13" formatCode="0.0000">
                  <c:v>4.5001084450000004</c:v>
                </c:pt>
                <c:pt idx="14" formatCode="0.0000">
                  <c:v>3.7478482199999998</c:v>
                </c:pt>
                <c:pt idx="15" formatCode="0.0000">
                  <c:v>7.4670175959999998</c:v>
                </c:pt>
                <c:pt idx="16" formatCode="0.0000">
                  <c:v>3.153739E-3</c:v>
                </c:pt>
                <c:pt idx="17">
                  <c:v>2.6853700000000001E-10</c:v>
                </c:pt>
                <c:pt idx="18">
                  <c:v>6.4617900000000003E-10</c:v>
                </c:pt>
                <c:pt idx="19" formatCode="0.0000">
                  <c:v>9.9870957019999995</c:v>
                </c:pt>
                <c:pt idx="20">
                  <c:v>7.9427500000000003E-10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6C-4A3C-8D37-33ADB39A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899215"/>
        <c:axId val="66900655"/>
      </c:barChart>
      <c:catAx>
        <c:axId val="6689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00655"/>
        <c:crosses val="autoZero"/>
        <c:auto val="1"/>
        <c:lblAlgn val="ctr"/>
        <c:lblOffset val="100"/>
        <c:noMultiLvlLbl val="0"/>
      </c:catAx>
      <c:valAx>
        <c:axId val="669006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log</a:t>
                </a:r>
                <a:r>
                  <a:rPr lang="en-US" sz="1000" b="0" baseline="-2500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10</a:t>
                </a:r>
                <a:r>
                  <a:rPr lang="en-US" sz="1000" b="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of the LSE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50131</xdr:colOff>
      <xdr:row>4</xdr:row>
      <xdr:rowOff>27203</xdr:rowOff>
    </xdr:from>
    <xdr:to>
      <xdr:col>19</xdr:col>
      <xdr:colOff>357090</xdr:colOff>
      <xdr:row>21</xdr:row>
      <xdr:rowOff>174119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83E89-C84D-4DBC-B378-5DB729399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306960</xdr:colOff>
      <xdr:row>50</xdr:row>
      <xdr:rowOff>146917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B7C7F3-7AD3-4E9E-A562-E3F9A9888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646535</xdr:colOff>
      <xdr:row>70</xdr:row>
      <xdr:rowOff>159165</xdr:rowOff>
    </xdr:from>
    <xdr:to>
      <xdr:col>22</xdr:col>
      <xdr:colOff>574124</xdr:colOff>
      <xdr:row>84</xdr:row>
      <xdr:rowOff>59108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7A2FE8-7489-8511-4F2C-43FDD2F14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154983</xdr:colOff>
      <xdr:row>98</xdr:row>
      <xdr:rowOff>649637</xdr:rowOff>
    </xdr:from>
    <xdr:to>
      <xdr:col>11</xdr:col>
      <xdr:colOff>297050</xdr:colOff>
      <xdr:row>112</xdr:row>
      <xdr:rowOff>151108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DDFC90-8A87-6910-10DA-C4C02A68D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DC3AD-AF00-4427-BD0D-713E9B5F8567}" name="Table2" displayName="Table2" ref="M71:O92" totalsRowShown="0" tableBorderDxfId="3">
  <autoFilter ref="M71:O92" xr:uid="{CD9DC3AD-AF00-4427-BD0D-713E9B5F8567}"/>
  <tableColumns count="3">
    <tableColumn id="1" xr3:uid="{C926F12E-84B8-4859-8D8A-0A1BED968430}" name="Rank " dataDxfId="2"/>
    <tableColumn id="2" xr3:uid="{C64034DC-AE05-4D44-870E-154784E15ACA}" name="Estimate P, b, w " dataDxfId="1"/>
    <tableColumn id="3" xr3:uid="{9A17EA64-E38B-49BE-A16A-179AC34DADD1}" name="Estimate w      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0F-1E6B-4659-BF68-CB0DA9D9C815}">
  <dimension ref="A1:G27"/>
  <sheetViews>
    <sheetView zoomScale="61" zoomScaleNormal="90" workbookViewId="0">
      <selection activeCell="U47" sqref="U47"/>
    </sheetView>
  </sheetViews>
  <sheetFormatPr defaultRowHeight="14.4" x14ac:dyDescent="0.3"/>
  <cols>
    <col min="1" max="1" width="13.5546875" bestFit="1" customWidth="1"/>
    <col min="2" max="2" width="23.44140625" bestFit="1" customWidth="1"/>
    <col min="3" max="3" width="23.6640625" bestFit="1" customWidth="1"/>
    <col min="4" max="4" width="12.21875" bestFit="1" customWidth="1"/>
    <col min="5" max="5" width="10" bestFit="1" customWidth="1"/>
  </cols>
  <sheetData>
    <row r="1" spans="1:7" x14ac:dyDescent="0.3">
      <c r="A1" s="31" t="s">
        <v>132</v>
      </c>
      <c r="B1" s="31" t="s">
        <v>131</v>
      </c>
      <c r="C1" s="31" t="s">
        <v>130</v>
      </c>
      <c r="G1" t="s">
        <v>129</v>
      </c>
    </row>
    <row r="2" spans="1:7" x14ac:dyDescent="0.3">
      <c r="A2" s="17">
        <v>1</v>
      </c>
      <c r="B2" s="19">
        <v>1.6926700000000001E-12</v>
      </c>
      <c r="C2" s="18">
        <v>2.0856817999999999E-2</v>
      </c>
      <c r="D2">
        <f t="shared" ref="D2:D22" si="0">$B$26</f>
        <v>7.9427500000000003E-10</v>
      </c>
      <c r="E2">
        <f t="shared" ref="E2:E22" si="1">$C$26</f>
        <v>2.515817744</v>
      </c>
    </row>
    <row r="3" spans="1:7" x14ac:dyDescent="0.3">
      <c r="A3" s="17">
        <v>2</v>
      </c>
      <c r="B3" s="19">
        <v>6.2412399999999997E-11</v>
      </c>
      <c r="C3" s="18">
        <v>6.5284122E-2</v>
      </c>
      <c r="D3">
        <f t="shared" si="0"/>
        <v>7.9427500000000003E-10</v>
      </c>
      <c r="E3">
        <f t="shared" si="1"/>
        <v>2.515817744</v>
      </c>
    </row>
    <row r="4" spans="1:7" x14ac:dyDescent="0.3">
      <c r="A4" s="17">
        <v>3</v>
      </c>
      <c r="B4" s="19">
        <v>1.2759999999999999E-9</v>
      </c>
      <c r="C4" s="18">
        <v>0.64156040199999997</v>
      </c>
      <c r="D4">
        <f t="shared" si="0"/>
        <v>7.9427500000000003E-10</v>
      </c>
      <c r="E4">
        <f t="shared" si="1"/>
        <v>2.515817744</v>
      </c>
    </row>
    <row r="5" spans="1:7" x14ac:dyDescent="0.3">
      <c r="A5" s="17">
        <v>4</v>
      </c>
      <c r="B5" s="19">
        <v>8.4351199999999993E-9</v>
      </c>
      <c r="C5" s="18">
        <v>1.553205822</v>
      </c>
      <c r="D5">
        <f t="shared" si="0"/>
        <v>7.9427500000000003E-10</v>
      </c>
      <c r="E5">
        <f t="shared" si="1"/>
        <v>2.515817744</v>
      </c>
    </row>
    <row r="6" spans="1:7" x14ac:dyDescent="0.3">
      <c r="A6" s="17">
        <v>5</v>
      </c>
      <c r="B6" s="19">
        <v>4.2707800000000002E-10</v>
      </c>
      <c r="C6" s="18">
        <v>2.515817744</v>
      </c>
      <c r="D6">
        <f t="shared" si="0"/>
        <v>7.9427500000000003E-10</v>
      </c>
      <c r="E6">
        <f t="shared" si="1"/>
        <v>2.515817744</v>
      </c>
    </row>
    <row r="7" spans="1:7" x14ac:dyDescent="0.3">
      <c r="A7" s="17">
        <v>6</v>
      </c>
      <c r="B7" s="19">
        <v>1.34146E-11</v>
      </c>
      <c r="C7" s="18">
        <v>2.1391358999999999E-2</v>
      </c>
      <c r="D7">
        <f t="shared" si="0"/>
        <v>7.9427500000000003E-10</v>
      </c>
      <c r="E7">
        <f t="shared" si="1"/>
        <v>2.515817744</v>
      </c>
    </row>
    <row r="8" spans="1:7" x14ac:dyDescent="0.3">
      <c r="A8" s="17">
        <v>7</v>
      </c>
      <c r="B8" s="19">
        <v>3.9195599999999997E-11</v>
      </c>
      <c r="C8" s="18">
        <v>2.2486088560000002</v>
      </c>
      <c r="D8">
        <f t="shared" si="0"/>
        <v>7.9427500000000003E-10</v>
      </c>
      <c r="E8">
        <f t="shared" si="1"/>
        <v>2.515817744</v>
      </c>
    </row>
    <row r="9" spans="1:7" x14ac:dyDescent="0.3">
      <c r="A9" s="17">
        <v>8</v>
      </c>
      <c r="B9" s="19">
        <v>4.3224999999999998E-11</v>
      </c>
      <c r="C9" s="18">
        <v>4.1162418000000001</v>
      </c>
      <c r="D9">
        <f t="shared" si="0"/>
        <v>7.9427500000000003E-10</v>
      </c>
      <c r="E9">
        <f t="shared" si="1"/>
        <v>2.515817744</v>
      </c>
    </row>
    <row r="10" spans="1:7" x14ac:dyDescent="0.3">
      <c r="A10" s="17">
        <v>9</v>
      </c>
      <c r="B10" s="19">
        <v>3.4098399999999999E-9</v>
      </c>
      <c r="C10" s="18">
        <v>3.8275664659999999</v>
      </c>
      <c r="D10">
        <f t="shared" si="0"/>
        <v>7.9427500000000003E-10</v>
      </c>
      <c r="E10">
        <f t="shared" si="1"/>
        <v>2.515817744</v>
      </c>
    </row>
    <row r="11" spans="1:7" x14ac:dyDescent="0.3">
      <c r="A11" s="17">
        <v>10</v>
      </c>
      <c r="B11" s="19">
        <v>4.9336599999999999E-10</v>
      </c>
      <c r="C11" s="18">
        <v>1.113756118</v>
      </c>
      <c r="D11">
        <f t="shared" si="0"/>
        <v>7.9427500000000003E-10</v>
      </c>
      <c r="E11">
        <f t="shared" si="1"/>
        <v>2.515817744</v>
      </c>
    </row>
    <row r="12" spans="1:7" x14ac:dyDescent="0.3">
      <c r="A12" s="17">
        <v>11</v>
      </c>
      <c r="B12" s="19">
        <v>8.4445200000000005E-12</v>
      </c>
      <c r="C12" s="18">
        <v>7.9774977999999996E-2</v>
      </c>
      <c r="D12">
        <f t="shared" si="0"/>
        <v>7.9427500000000003E-10</v>
      </c>
      <c r="E12">
        <f t="shared" si="1"/>
        <v>2.515817744</v>
      </c>
    </row>
    <row r="13" spans="1:7" x14ac:dyDescent="0.3">
      <c r="A13" s="17">
        <v>12</v>
      </c>
      <c r="B13" s="19">
        <v>2.3978000000000001E-8</v>
      </c>
      <c r="C13" s="18">
        <v>4.5806138980000002</v>
      </c>
      <c r="D13">
        <f t="shared" si="0"/>
        <v>7.9427500000000003E-10</v>
      </c>
      <c r="E13">
        <f t="shared" si="1"/>
        <v>2.515817744</v>
      </c>
    </row>
    <row r="14" spans="1:7" x14ac:dyDescent="0.3">
      <c r="A14" s="17">
        <v>13</v>
      </c>
      <c r="B14" s="18">
        <v>4.4999161460000003</v>
      </c>
      <c r="C14" s="18">
        <v>4.4742410159999997</v>
      </c>
      <c r="D14">
        <f t="shared" si="0"/>
        <v>7.9427500000000003E-10</v>
      </c>
      <c r="E14">
        <f t="shared" si="1"/>
        <v>2.515817744</v>
      </c>
    </row>
    <row r="15" spans="1:7" x14ac:dyDescent="0.3">
      <c r="A15" s="17">
        <v>14</v>
      </c>
      <c r="B15" s="18">
        <v>4.5001084450000004</v>
      </c>
      <c r="C15" s="18">
        <v>6.8499549880000004</v>
      </c>
      <c r="D15">
        <f t="shared" si="0"/>
        <v>7.9427500000000003E-10</v>
      </c>
      <c r="E15">
        <f t="shared" si="1"/>
        <v>2.515817744</v>
      </c>
    </row>
    <row r="16" spans="1:7" x14ac:dyDescent="0.3">
      <c r="A16" s="17">
        <v>15</v>
      </c>
      <c r="B16" s="18">
        <v>3.7478482199999998</v>
      </c>
      <c r="C16" s="18">
        <v>5.9285567019999998</v>
      </c>
      <c r="D16">
        <f t="shared" si="0"/>
        <v>7.9427500000000003E-10</v>
      </c>
      <c r="E16">
        <f t="shared" si="1"/>
        <v>2.515817744</v>
      </c>
    </row>
    <row r="17" spans="1:5" x14ac:dyDescent="0.3">
      <c r="A17" s="17">
        <v>16</v>
      </c>
      <c r="B17" s="18">
        <v>7.4670175959999998</v>
      </c>
      <c r="C17" s="18">
        <v>8.8409890549999997</v>
      </c>
      <c r="D17">
        <f t="shared" si="0"/>
        <v>7.9427500000000003E-10</v>
      </c>
      <c r="E17">
        <f t="shared" si="1"/>
        <v>2.515817744</v>
      </c>
    </row>
    <row r="18" spans="1:5" x14ac:dyDescent="0.3">
      <c r="A18" s="17">
        <v>17</v>
      </c>
      <c r="B18" s="18">
        <v>3.153739E-3</v>
      </c>
      <c r="C18" s="18">
        <v>5.2996438589999997</v>
      </c>
      <c r="D18">
        <f t="shared" si="0"/>
        <v>7.9427500000000003E-10</v>
      </c>
      <c r="E18">
        <f t="shared" si="1"/>
        <v>2.515817744</v>
      </c>
    </row>
    <row r="19" spans="1:5" x14ac:dyDescent="0.3">
      <c r="A19" s="17">
        <v>18</v>
      </c>
      <c r="B19" s="19">
        <v>2.6853700000000001E-10</v>
      </c>
      <c r="C19" s="18">
        <v>0.60187746399999997</v>
      </c>
      <c r="D19">
        <f t="shared" si="0"/>
        <v>7.9427500000000003E-10</v>
      </c>
      <c r="E19">
        <f t="shared" si="1"/>
        <v>2.515817744</v>
      </c>
    </row>
    <row r="20" spans="1:5" x14ac:dyDescent="0.3">
      <c r="A20" s="17">
        <v>19</v>
      </c>
      <c r="B20" s="19">
        <v>6.4617900000000003E-10</v>
      </c>
      <c r="C20" s="18">
        <v>0.27386723800000001</v>
      </c>
      <c r="D20">
        <f t="shared" si="0"/>
        <v>7.9427500000000003E-10</v>
      </c>
      <c r="E20">
        <f t="shared" si="1"/>
        <v>2.515817744</v>
      </c>
    </row>
    <row r="21" spans="1:5" x14ac:dyDescent="0.3">
      <c r="A21" s="17">
        <v>20</v>
      </c>
      <c r="B21" s="18">
        <v>9.9870957019999995</v>
      </c>
      <c r="C21" s="18">
        <v>26.96019235</v>
      </c>
      <c r="D21">
        <f t="shared" si="0"/>
        <v>7.9427500000000003E-10</v>
      </c>
      <c r="E21">
        <f t="shared" si="1"/>
        <v>2.515817744</v>
      </c>
    </row>
    <row r="22" spans="1:5" x14ac:dyDescent="0.3">
      <c r="A22" s="17">
        <v>21</v>
      </c>
      <c r="B22" s="19">
        <v>7.9427500000000003E-10</v>
      </c>
      <c r="C22" s="18">
        <v>4.9844587770000004</v>
      </c>
      <c r="D22">
        <f t="shared" si="0"/>
        <v>7.9427500000000003E-10</v>
      </c>
      <c r="E22">
        <f t="shared" si="1"/>
        <v>2.515817744</v>
      </c>
    </row>
    <row r="26" spans="1:5" x14ac:dyDescent="0.3">
      <c r="A26" t="s">
        <v>128</v>
      </c>
      <c r="B26" s="30">
        <f>MEDIAN(B2:B22)</f>
        <v>7.9427500000000003E-10</v>
      </c>
      <c r="C26" s="29">
        <f>MEDIAN(C2:C22)</f>
        <v>2.515817744</v>
      </c>
    </row>
    <row r="27" spans="1:5" x14ac:dyDescent="0.3">
      <c r="B27" s="30">
        <f>AVERAGE(B2:B22)</f>
        <v>1.4383399946617514</v>
      </c>
      <c r="C27" s="29">
        <f>AVERAGE(C2:C22)</f>
        <v>4.0475457062857139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DE-9AF4-4C8B-A8F6-79E950C536D2}">
  <dimension ref="A1:X120"/>
  <sheetViews>
    <sheetView tabSelected="1" topLeftCell="E98" zoomScale="57" zoomScaleNormal="110" workbookViewId="0">
      <selection activeCell="J119" sqref="J119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9" bestFit="1" customWidth="1"/>
    <col min="4" max="6" width="9.109375" bestFit="1" customWidth="1"/>
    <col min="7" max="7" width="9.44140625" bestFit="1" customWidth="1"/>
    <col min="8" max="8" width="9.109375" bestFit="1" customWidth="1"/>
    <col min="9" max="9" width="10.21875" bestFit="1" customWidth="1"/>
    <col min="11" max="11" width="9.109375" bestFit="1" customWidth="1"/>
    <col min="12" max="12" width="9" bestFit="1" customWidth="1"/>
    <col min="13" max="13" width="9.109375" bestFit="1" customWidth="1"/>
    <col min="14" max="14" width="19.44140625" customWidth="1"/>
    <col min="15" max="15" width="17.88671875" customWidth="1"/>
    <col min="16" max="18" width="10.44140625" bestFit="1" customWidth="1"/>
    <col min="19" max="19" width="9.109375" bestFit="1" customWidth="1"/>
    <col min="20" max="24" width="9" bestFit="1" customWidth="1"/>
  </cols>
  <sheetData>
    <row r="1" spans="1:24" x14ac:dyDescent="0.3">
      <c r="A1" t="s">
        <v>3</v>
      </c>
      <c r="B1" t="s">
        <v>0</v>
      </c>
      <c r="C1" t="s">
        <v>1</v>
      </c>
      <c r="D1" t="s">
        <v>18</v>
      </c>
      <c r="E1" t="s">
        <v>19</v>
      </c>
      <c r="F1" t="s">
        <v>20</v>
      </c>
      <c r="L1" t="s">
        <v>40</v>
      </c>
      <c r="M1" t="s">
        <v>41</v>
      </c>
      <c r="N1" t="s">
        <v>42</v>
      </c>
    </row>
    <row r="2" spans="1:24" x14ac:dyDescent="0.3">
      <c r="A2" t="s">
        <v>4</v>
      </c>
      <c r="B2" t="s">
        <v>2</v>
      </c>
      <c r="C2">
        <v>30</v>
      </c>
      <c r="D2">
        <v>1</v>
      </c>
      <c r="E2">
        <v>1</v>
      </c>
      <c r="F2" t="s">
        <v>26</v>
      </c>
      <c r="L2" t="s">
        <v>43</v>
      </c>
      <c r="M2">
        <v>2E-3</v>
      </c>
      <c r="N2">
        <v>41.32</v>
      </c>
    </row>
    <row r="3" spans="1:24" x14ac:dyDescent="0.3">
      <c r="A3" t="s">
        <v>4</v>
      </c>
      <c r="B3" t="s">
        <v>21</v>
      </c>
      <c r="C3">
        <v>30</v>
      </c>
      <c r="D3">
        <v>0</v>
      </c>
      <c r="E3">
        <v>1</v>
      </c>
      <c r="F3" t="s">
        <v>26</v>
      </c>
      <c r="L3" t="s">
        <v>43</v>
      </c>
      <c r="M3">
        <v>0.02</v>
      </c>
      <c r="N3">
        <v>5.61</v>
      </c>
    </row>
    <row r="4" spans="1:24" x14ac:dyDescent="0.3">
      <c r="A4" t="s">
        <v>4</v>
      </c>
      <c r="B4" t="s">
        <v>5</v>
      </c>
      <c r="C4">
        <v>60</v>
      </c>
      <c r="D4">
        <v>1</v>
      </c>
      <c r="E4">
        <v>1</v>
      </c>
      <c r="F4" t="s">
        <v>26</v>
      </c>
      <c r="L4" t="s">
        <v>44</v>
      </c>
      <c r="M4">
        <v>2E-3</v>
      </c>
      <c r="N4">
        <v>1368.4</v>
      </c>
    </row>
    <row r="5" spans="1:24" ht="15.6" x14ac:dyDescent="0.3">
      <c r="A5" s="1" t="s">
        <v>6</v>
      </c>
      <c r="B5" t="s">
        <v>7</v>
      </c>
      <c r="C5">
        <v>15</v>
      </c>
      <c r="D5">
        <v>1</v>
      </c>
      <c r="E5">
        <v>1</v>
      </c>
      <c r="F5">
        <v>1</v>
      </c>
      <c r="L5" t="s">
        <v>44</v>
      </c>
      <c r="M5">
        <v>0.02</v>
      </c>
      <c r="N5">
        <v>648.9</v>
      </c>
    </row>
    <row r="6" spans="1:24" ht="15.6" x14ac:dyDescent="0.3">
      <c r="A6" s="1" t="s">
        <v>6</v>
      </c>
      <c r="B6" t="s">
        <v>8</v>
      </c>
      <c r="C6">
        <v>15</v>
      </c>
      <c r="D6">
        <v>1</v>
      </c>
      <c r="E6">
        <v>1</v>
      </c>
      <c r="F6">
        <v>1</v>
      </c>
      <c r="L6" t="s">
        <v>45</v>
      </c>
      <c r="M6">
        <v>2E-3</v>
      </c>
      <c r="N6">
        <v>54.4</v>
      </c>
    </row>
    <row r="7" spans="1:24" ht="15.6" x14ac:dyDescent="0.3">
      <c r="A7" s="1" t="s">
        <v>6</v>
      </c>
      <c r="B7" t="s">
        <v>8</v>
      </c>
      <c r="C7">
        <v>60</v>
      </c>
      <c r="D7">
        <v>1</v>
      </c>
      <c r="E7">
        <v>1</v>
      </c>
      <c r="F7">
        <v>1</v>
      </c>
      <c r="L7" t="s">
        <v>45</v>
      </c>
      <c r="M7">
        <v>0.02</v>
      </c>
      <c r="N7">
        <v>8.1</v>
      </c>
    </row>
    <row r="8" spans="1:24" ht="15.6" x14ac:dyDescent="0.3">
      <c r="A8" s="1" t="s">
        <v>6</v>
      </c>
      <c r="B8" t="s">
        <v>2</v>
      </c>
      <c r="C8">
        <v>30</v>
      </c>
      <c r="D8">
        <v>1</v>
      </c>
      <c r="E8">
        <v>1</v>
      </c>
      <c r="F8" t="s">
        <v>26</v>
      </c>
    </row>
    <row r="9" spans="1:24" ht="15.6" x14ac:dyDescent="0.3">
      <c r="A9" s="1" t="s">
        <v>6</v>
      </c>
      <c r="B9" t="s">
        <v>14</v>
      </c>
      <c r="C9">
        <v>15</v>
      </c>
      <c r="D9">
        <v>0</v>
      </c>
      <c r="E9">
        <v>1</v>
      </c>
      <c r="F9">
        <v>1</v>
      </c>
    </row>
    <row r="10" spans="1:24" ht="15.6" x14ac:dyDescent="0.3">
      <c r="A10" s="1" t="s">
        <v>6</v>
      </c>
      <c r="B10" s="2" t="s">
        <v>21</v>
      </c>
      <c r="C10">
        <v>60</v>
      </c>
      <c r="D10" t="s">
        <v>26</v>
      </c>
      <c r="E10">
        <v>1</v>
      </c>
      <c r="F10" t="s">
        <v>26</v>
      </c>
    </row>
    <row r="11" spans="1:24" ht="15.6" x14ac:dyDescent="0.3">
      <c r="A11" s="1" t="s">
        <v>6</v>
      </c>
      <c r="B11" s="2" t="s">
        <v>22</v>
      </c>
      <c r="C11">
        <v>60</v>
      </c>
      <c r="D11" t="s">
        <v>26</v>
      </c>
      <c r="E11">
        <v>1</v>
      </c>
      <c r="F11" t="s">
        <v>26</v>
      </c>
    </row>
    <row r="12" spans="1:24" ht="15.6" x14ac:dyDescent="0.3">
      <c r="A12" s="1" t="s">
        <v>6</v>
      </c>
      <c r="B12" s="2" t="s">
        <v>23</v>
      </c>
      <c r="C12">
        <v>60</v>
      </c>
      <c r="D12">
        <v>0</v>
      </c>
      <c r="E12">
        <v>1</v>
      </c>
      <c r="F12">
        <v>0</v>
      </c>
    </row>
    <row r="13" spans="1:24" ht="86.4" x14ac:dyDescent="0.3">
      <c r="A13" s="1" t="s">
        <v>6</v>
      </c>
      <c r="B13" s="2" t="s">
        <v>24</v>
      </c>
      <c r="C13">
        <v>60</v>
      </c>
      <c r="D13">
        <v>0</v>
      </c>
      <c r="E13">
        <v>1</v>
      </c>
      <c r="F13">
        <v>0</v>
      </c>
      <c r="L13" t="s">
        <v>46</v>
      </c>
      <c r="M13" s="12" t="s">
        <v>51</v>
      </c>
      <c r="N13" s="12" t="s">
        <v>52</v>
      </c>
      <c r="O13" s="12" t="s">
        <v>61</v>
      </c>
      <c r="P13" s="12" t="s">
        <v>57</v>
      </c>
      <c r="Q13" s="12" t="s">
        <v>53</v>
      </c>
      <c r="R13" s="12" t="s">
        <v>54</v>
      </c>
      <c r="S13" s="12" t="s">
        <v>62</v>
      </c>
      <c r="T13" s="12" t="s">
        <v>58</v>
      </c>
      <c r="U13" s="12" t="s">
        <v>55</v>
      </c>
      <c r="V13" s="12" t="s">
        <v>56</v>
      </c>
      <c r="W13" s="12" t="s">
        <v>63</v>
      </c>
      <c r="X13" s="12" t="s">
        <v>59</v>
      </c>
    </row>
    <row r="14" spans="1:24" ht="15.6" x14ac:dyDescent="0.3">
      <c r="A14" s="1" t="s">
        <v>25</v>
      </c>
      <c r="B14" t="s">
        <v>9</v>
      </c>
      <c r="C14">
        <v>15</v>
      </c>
      <c r="D14">
        <v>1</v>
      </c>
      <c r="E14">
        <v>1</v>
      </c>
      <c r="F14">
        <v>1</v>
      </c>
      <c r="L14" t="s">
        <v>47</v>
      </c>
      <c r="M14" s="13">
        <v>2.59264863267923</v>
      </c>
      <c r="N14" s="13">
        <v>1.8905629735265737</v>
      </c>
      <c r="O14" s="13">
        <v>0.59751007293279002</v>
      </c>
      <c r="P14" s="13">
        <v>0.61510827514440936</v>
      </c>
      <c r="Q14" s="13">
        <v>1.9156416899414954</v>
      </c>
      <c r="R14" s="13">
        <v>1.8927758339288112</v>
      </c>
      <c r="S14" s="13">
        <v>0.60024411677863732</v>
      </c>
      <c r="T14" s="13">
        <v>0.56432988664941797</v>
      </c>
      <c r="U14" s="13">
        <v>2.5065205502097148</v>
      </c>
      <c r="V14" s="13">
        <v>2.3401698414643781</v>
      </c>
      <c r="W14" s="13">
        <v>0.9672457952796315</v>
      </c>
      <c r="X14" s="13">
        <v>0.88889897990324152</v>
      </c>
    </row>
    <row r="15" spans="1:24" ht="15.6" x14ac:dyDescent="0.3">
      <c r="A15" s="1" t="s">
        <v>25</v>
      </c>
      <c r="B15" t="s">
        <v>5</v>
      </c>
      <c r="C15">
        <v>15</v>
      </c>
      <c r="D15">
        <v>1</v>
      </c>
      <c r="E15">
        <v>1</v>
      </c>
      <c r="F15" t="s">
        <v>26</v>
      </c>
      <c r="L15" t="s">
        <v>48</v>
      </c>
      <c r="M15" s="13">
        <v>0.8194464159542445</v>
      </c>
      <c r="N15" s="13">
        <v>0.78479229416404162</v>
      </c>
      <c r="O15" s="13">
        <v>0.82547612515048219</v>
      </c>
      <c r="P15" s="13">
        <v>0.78711363995202055</v>
      </c>
      <c r="Q15" s="13">
        <v>0.67062404245787355</v>
      </c>
      <c r="R15" s="13">
        <v>0.66346662114235366</v>
      </c>
      <c r="S15" s="13">
        <v>0.677609077647504</v>
      </c>
      <c r="T15" s="13">
        <v>0.66972554064254142</v>
      </c>
      <c r="U15" s="13">
        <v>0.7002725937827593</v>
      </c>
      <c r="V15" s="13">
        <v>0.69197580358727728</v>
      </c>
      <c r="W15" s="13">
        <v>0.71096405953563768</v>
      </c>
      <c r="X15" s="13">
        <v>0.70220479958634974</v>
      </c>
    </row>
    <row r="16" spans="1:24" ht="15.6" x14ac:dyDescent="0.3">
      <c r="A16" s="1" t="s">
        <v>25</v>
      </c>
      <c r="B16" t="s">
        <v>5</v>
      </c>
      <c r="C16">
        <v>30</v>
      </c>
      <c r="D16">
        <v>1</v>
      </c>
      <c r="E16">
        <v>1</v>
      </c>
      <c r="F16" t="s">
        <v>26</v>
      </c>
      <c r="L16" t="s">
        <v>49</v>
      </c>
      <c r="M16" s="13">
        <v>0.57679999999999998</v>
      </c>
      <c r="N16" s="13">
        <v>0.56180907999486296</v>
      </c>
      <c r="O16" s="13">
        <v>0.57681781303767143</v>
      </c>
      <c r="P16" s="13">
        <v>0.56180907999486296</v>
      </c>
      <c r="Q16" s="13">
        <v>0.49891335506259965</v>
      </c>
      <c r="R16" s="13">
        <v>0.48839768804580391</v>
      </c>
      <c r="S16" s="13">
        <v>0.49891335506259965</v>
      </c>
      <c r="T16" s="13">
        <v>0.48839768804580391</v>
      </c>
      <c r="U16" s="13">
        <v>0.49728852687609254</v>
      </c>
      <c r="V16" s="13">
        <v>0.48502661800334884</v>
      </c>
      <c r="W16" s="13">
        <v>0.49728852687609254</v>
      </c>
      <c r="X16" s="13">
        <v>0.48503730726032496</v>
      </c>
    </row>
    <row r="17" spans="1:24" ht="15.6" x14ac:dyDescent="0.3">
      <c r="A17" s="1" t="s">
        <v>25</v>
      </c>
      <c r="B17" t="s">
        <v>5</v>
      </c>
      <c r="C17">
        <v>60</v>
      </c>
      <c r="D17">
        <v>1</v>
      </c>
      <c r="E17">
        <v>1</v>
      </c>
      <c r="F17" t="s">
        <v>26</v>
      </c>
      <c r="L17" t="s">
        <v>60</v>
      </c>
      <c r="M17" s="13">
        <f>M15/M16</f>
        <v>1.4206768653853061</v>
      </c>
      <c r="N17" s="13">
        <f t="shared" ref="N17:X17" si="0">N15/N16</f>
        <v>1.3969021187254886</v>
      </c>
      <c r="O17" s="13">
        <f t="shared" si="0"/>
        <v>1.4310863958991</v>
      </c>
      <c r="P17" s="13">
        <f t="shared" si="0"/>
        <v>1.4010340309188625</v>
      </c>
      <c r="Q17" s="13">
        <f t="shared" si="0"/>
        <v>1.3441693545640385</v>
      </c>
      <c r="R17" s="13">
        <f t="shared" si="0"/>
        <v>1.358455695802006</v>
      </c>
      <c r="S17" s="13">
        <f t="shared" si="0"/>
        <v>1.3581698520827992</v>
      </c>
      <c r="T17" s="13">
        <f t="shared" si="0"/>
        <v>1.3712709069575526</v>
      </c>
      <c r="U17" s="13">
        <f t="shared" si="0"/>
        <v>1.4081816811294412</v>
      </c>
      <c r="V17" s="13">
        <f t="shared" si="0"/>
        <v>1.4266759346855054</v>
      </c>
      <c r="W17" s="13">
        <f t="shared" si="0"/>
        <v>1.429681203388764</v>
      </c>
      <c r="X17" s="13">
        <f t="shared" si="0"/>
        <v>1.4477335847682919</v>
      </c>
    </row>
    <row r="18" spans="1:24" ht="15.6" x14ac:dyDescent="0.3">
      <c r="A18" s="1" t="s">
        <v>25</v>
      </c>
      <c r="B18" t="s">
        <v>10</v>
      </c>
      <c r="C18">
        <v>15</v>
      </c>
      <c r="D18">
        <v>1</v>
      </c>
      <c r="E18" t="s">
        <v>26</v>
      </c>
      <c r="F18">
        <v>1</v>
      </c>
      <c r="L18" t="s">
        <v>50</v>
      </c>
      <c r="M18">
        <v>84804</v>
      </c>
      <c r="N18">
        <v>74525</v>
      </c>
      <c r="O18">
        <v>43787</v>
      </c>
      <c r="P18">
        <v>43919</v>
      </c>
      <c r="Q18">
        <v>63902</v>
      </c>
      <c r="R18">
        <v>53846</v>
      </c>
      <c r="S18">
        <v>22177</v>
      </c>
      <c r="T18">
        <v>25836</v>
      </c>
      <c r="U18">
        <v>111242</v>
      </c>
      <c r="V18">
        <v>61273</v>
      </c>
      <c r="W18">
        <v>30248</v>
      </c>
      <c r="X18">
        <v>27897</v>
      </c>
    </row>
    <row r="19" spans="1:24" ht="15.6" x14ac:dyDescent="0.3">
      <c r="A19" s="1" t="s">
        <v>25</v>
      </c>
      <c r="B19" t="s">
        <v>11</v>
      </c>
      <c r="C19">
        <v>30</v>
      </c>
      <c r="D19">
        <v>1</v>
      </c>
      <c r="E19" t="s">
        <v>26</v>
      </c>
      <c r="F19">
        <v>1</v>
      </c>
    </row>
    <row r="20" spans="1:24" ht="15.6" x14ac:dyDescent="0.3">
      <c r="A20" s="1" t="s">
        <v>25</v>
      </c>
      <c r="B20" t="s">
        <v>12</v>
      </c>
      <c r="C20">
        <v>60</v>
      </c>
      <c r="D20">
        <v>1</v>
      </c>
      <c r="E20" t="s">
        <v>26</v>
      </c>
      <c r="F20">
        <v>1</v>
      </c>
    </row>
    <row r="21" spans="1:24" ht="15.6" x14ac:dyDescent="0.3">
      <c r="A21" s="1" t="s">
        <v>13</v>
      </c>
      <c r="B21" t="s">
        <v>12</v>
      </c>
      <c r="C21">
        <v>15</v>
      </c>
      <c r="D21">
        <v>1</v>
      </c>
      <c r="E21" t="s">
        <v>26</v>
      </c>
      <c r="F21">
        <v>1</v>
      </c>
    </row>
    <row r="22" spans="1:24" ht="15.6" x14ac:dyDescent="0.3">
      <c r="A22" s="1" t="s">
        <v>13</v>
      </c>
      <c r="B22" t="s">
        <v>5</v>
      </c>
      <c r="C22">
        <v>15</v>
      </c>
      <c r="D22">
        <v>1</v>
      </c>
      <c r="E22">
        <v>1</v>
      </c>
      <c r="F22" t="s">
        <v>26</v>
      </c>
      <c r="J22" t="s">
        <v>46</v>
      </c>
      <c r="K22" t="s">
        <v>67</v>
      </c>
    </row>
    <row r="23" spans="1:24" ht="15.6" x14ac:dyDescent="0.3">
      <c r="A23" s="1" t="s">
        <v>13</v>
      </c>
      <c r="B23" t="s">
        <v>10</v>
      </c>
      <c r="C23">
        <v>15</v>
      </c>
      <c r="D23">
        <v>1</v>
      </c>
      <c r="E23" t="s">
        <v>26</v>
      </c>
      <c r="F23">
        <v>1</v>
      </c>
      <c r="J23" t="s">
        <v>48</v>
      </c>
      <c r="K23">
        <v>0.69197580358727728</v>
      </c>
    </row>
    <row r="24" spans="1:24" ht="15.6" x14ac:dyDescent="0.3">
      <c r="A24" s="1" t="s">
        <v>13</v>
      </c>
      <c r="B24" t="s">
        <v>10</v>
      </c>
      <c r="C24">
        <v>30</v>
      </c>
      <c r="D24">
        <v>1</v>
      </c>
      <c r="E24" t="s">
        <v>26</v>
      </c>
      <c r="F24">
        <v>1</v>
      </c>
      <c r="J24" t="s">
        <v>64</v>
      </c>
      <c r="K24">
        <v>2.3401698414643781</v>
      </c>
    </row>
    <row r="25" spans="1:24" ht="15.6" x14ac:dyDescent="0.3">
      <c r="A25" s="1" t="s">
        <v>13</v>
      </c>
      <c r="B25" t="s">
        <v>14</v>
      </c>
      <c r="C25">
        <v>30</v>
      </c>
      <c r="D25">
        <v>1</v>
      </c>
      <c r="E25">
        <v>1</v>
      </c>
      <c r="F25">
        <v>1</v>
      </c>
      <c r="J25" t="s">
        <v>65</v>
      </c>
      <c r="K25">
        <v>0.48502661800334884</v>
      </c>
    </row>
    <row r="26" spans="1:24" ht="15.6" x14ac:dyDescent="0.3">
      <c r="A26" s="1" t="s">
        <v>13</v>
      </c>
      <c r="B26" t="s">
        <v>10</v>
      </c>
      <c r="C26">
        <v>60</v>
      </c>
      <c r="D26">
        <v>1</v>
      </c>
      <c r="E26" t="s">
        <v>26</v>
      </c>
      <c r="F26">
        <v>1</v>
      </c>
      <c r="J26" t="s">
        <v>66</v>
      </c>
      <c r="K26">
        <v>61273</v>
      </c>
    </row>
    <row r="27" spans="1:24" ht="15.6" x14ac:dyDescent="0.3">
      <c r="A27" s="1" t="s">
        <v>15</v>
      </c>
      <c r="B27" t="s">
        <v>10</v>
      </c>
      <c r="C27">
        <v>15</v>
      </c>
      <c r="D27">
        <v>2</v>
      </c>
      <c r="E27" t="s">
        <v>26</v>
      </c>
      <c r="F27">
        <v>2</v>
      </c>
    </row>
    <row r="28" spans="1:24" ht="15.6" x14ac:dyDescent="0.3">
      <c r="A28" s="1" t="s">
        <v>15</v>
      </c>
      <c r="B28" t="s">
        <v>16</v>
      </c>
      <c r="C28">
        <v>30</v>
      </c>
      <c r="D28">
        <v>1</v>
      </c>
      <c r="E28" t="s">
        <v>26</v>
      </c>
      <c r="F28">
        <v>1</v>
      </c>
    </row>
    <row r="29" spans="1:24" ht="15.6" x14ac:dyDescent="0.3">
      <c r="A29" s="1" t="s">
        <v>15</v>
      </c>
      <c r="B29" t="s">
        <v>10</v>
      </c>
      <c r="C29">
        <v>60</v>
      </c>
      <c r="D29">
        <v>2</v>
      </c>
      <c r="E29" t="s">
        <v>26</v>
      </c>
      <c r="F29">
        <v>2</v>
      </c>
      <c r="K29" s="14" t="s">
        <v>46</v>
      </c>
      <c r="L29" s="14" t="s">
        <v>74</v>
      </c>
      <c r="M29" t="s">
        <v>75</v>
      </c>
    </row>
    <row r="30" spans="1:24" ht="15.6" x14ac:dyDescent="0.3">
      <c r="A30" s="1" t="s">
        <v>17</v>
      </c>
      <c r="B30" t="s">
        <v>8</v>
      </c>
      <c r="C30">
        <v>15</v>
      </c>
      <c r="D30">
        <v>1</v>
      </c>
      <c r="E30">
        <v>1</v>
      </c>
      <c r="F30" t="s">
        <v>26</v>
      </c>
      <c r="K30" s="14" t="s">
        <v>68</v>
      </c>
      <c r="L30" s="15">
        <v>2E-3</v>
      </c>
      <c r="M30" s="15">
        <v>2E-8</v>
      </c>
    </row>
    <row r="31" spans="1:24" ht="15.6" x14ac:dyDescent="0.3">
      <c r="A31" s="1" t="s">
        <v>17</v>
      </c>
      <c r="B31" t="s">
        <v>5</v>
      </c>
      <c r="C31">
        <v>15</v>
      </c>
      <c r="D31">
        <v>1</v>
      </c>
      <c r="E31">
        <v>1</v>
      </c>
      <c r="F31" t="s">
        <v>26</v>
      </c>
      <c r="K31" s="14" t="s">
        <v>69</v>
      </c>
      <c r="L31" s="14">
        <v>1</v>
      </c>
      <c r="M31" s="14">
        <v>1</v>
      </c>
    </row>
    <row r="32" spans="1:24" ht="15.6" x14ac:dyDescent="0.3">
      <c r="A32" s="1" t="s">
        <v>17</v>
      </c>
      <c r="B32" t="s">
        <v>5</v>
      </c>
      <c r="C32">
        <v>60</v>
      </c>
      <c r="D32">
        <v>1</v>
      </c>
      <c r="E32">
        <v>1</v>
      </c>
      <c r="F32" t="s">
        <v>26</v>
      </c>
      <c r="K32" s="14" t="s">
        <v>70</v>
      </c>
      <c r="L32" s="15">
        <v>100000000</v>
      </c>
      <c r="M32" s="15">
        <v>100000000</v>
      </c>
    </row>
    <row r="33" spans="1:19" ht="15.6" x14ac:dyDescent="0.3">
      <c r="A33" s="1" t="s">
        <v>17</v>
      </c>
      <c r="B33" s="2" t="s">
        <v>21</v>
      </c>
      <c r="C33">
        <v>60</v>
      </c>
      <c r="D33">
        <v>0</v>
      </c>
      <c r="E33">
        <v>2</v>
      </c>
      <c r="F33" t="s">
        <v>26</v>
      </c>
      <c r="K33" s="14" t="s">
        <v>71</v>
      </c>
      <c r="L33" s="15">
        <v>9.9999999999999995E-7</v>
      </c>
      <c r="M33" s="15">
        <v>1E-8</v>
      </c>
    </row>
    <row r="34" spans="1:19" x14ac:dyDescent="0.3">
      <c r="K34" s="14" t="s">
        <v>72</v>
      </c>
      <c r="L34" s="15">
        <v>100000000</v>
      </c>
      <c r="M34" s="15">
        <v>100000000</v>
      </c>
    </row>
    <row r="35" spans="1:19" x14ac:dyDescent="0.3">
      <c r="K35" s="14" t="s">
        <v>73</v>
      </c>
      <c r="L35" s="15">
        <v>9.9999999999999995E-7</v>
      </c>
      <c r="M35" s="15">
        <v>1E-8</v>
      </c>
    </row>
    <row r="43" spans="1:19" ht="15" thickBot="1" x14ac:dyDescent="0.35"/>
    <row r="44" spans="1:19" ht="53.4" thickBot="1" x14ac:dyDescent="0.35">
      <c r="A44" s="3" t="s">
        <v>27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32</v>
      </c>
      <c r="G44" s="4"/>
      <c r="H44" s="4"/>
      <c r="M44" s="16"/>
      <c r="N44" s="16"/>
      <c r="O44" s="16"/>
      <c r="P44" s="16"/>
      <c r="Q44" s="16"/>
      <c r="R44" s="16"/>
      <c r="S44" s="16"/>
    </row>
    <row r="45" spans="1:19" ht="15" thickBot="1" x14ac:dyDescent="0.35">
      <c r="A45" s="5" t="s">
        <v>2</v>
      </c>
      <c r="B45" s="6" t="s">
        <v>33</v>
      </c>
      <c r="C45" s="6">
        <v>-1.167</v>
      </c>
      <c r="D45" s="6">
        <v>-0.92600000000000005</v>
      </c>
      <c r="E45" s="6">
        <v>-1.0129999999999999</v>
      </c>
      <c r="F45" s="6">
        <v>-0.81799999999999995</v>
      </c>
      <c r="G45" s="10">
        <f>C45-D45</f>
        <v>-0.24099999999999999</v>
      </c>
      <c r="H45" s="11">
        <f>AVERAGE(C45:D45)</f>
        <v>-1.0465</v>
      </c>
      <c r="I45">
        <f>G45/H45</f>
        <v>0.23029144768275203</v>
      </c>
      <c r="M45" s="17"/>
      <c r="N45" s="17"/>
      <c r="O45" s="18"/>
      <c r="P45" s="19"/>
      <c r="Q45" s="19"/>
      <c r="R45" s="19"/>
      <c r="S45" s="18"/>
    </row>
    <row r="46" spans="1:19" ht="15" thickBot="1" x14ac:dyDescent="0.35">
      <c r="A46" s="5" t="s">
        <v>33</v>
      </c>
      <c r="B46" s="6" t="s">
        <v>34</v>
      </c>
      <c r="C46" s="6">
        <v>-1.573</v>
      </c>
      <c r="D46" s="6">
        <v>0.106</v>
      </c>
      <c r="E46" s="6">
        <v>-1.829</v>
      </c>
      <c r="F46" s="6">
        <v>-1.165</v>
      </c>
      <c r="G46" s="10">
        <f t="shared" ref="G46:G72" si="1">C46-D46</f>
        <v>-1.679</v>
      </c>
      <c r="H46" s="11">
        <f t="shared" ref="H46:H72" si="2">AVERAGE(C46:D46)</f>
        <v>-0.73349999999999993</v>
      </c>
      <c r="I46">
        <f t="shared" ref="I46:I72" si="3">G46/H46</f>
        <v>2.2890252215405593</v>
      </c>
      <c r="M46" s="17"/>
      <c r="N46" s="17"/>
      <c r="O46" s="18"/>
      <c r="P46" s="19"/>
      <c r="Q46" s="19"/>
      <c r="R46" s="19"/>
      <c r="S46" s="18"/>
    </row>
    <row r="47" spans="1:19" ht="15" thickBot="1" x14ac:dyDescent="0.35">
      <c r="A47" s="5" t="s">
        <v>8</v>
      </c>
      <c r="B47" s="6" t="s">
        <v>35</v>
      </c>
      <c r="C47" s="6">
        <v>0.28000000000000003</v>
      </c>
      <c r="D47" s="6">
        <v>0.47799999999999998</v>
      </c>
      <c r="E47" s="6">
        <v>1.7000000000000001E-2</v>
      </c>
      <c r="F47" s="6">
        <v>0.186</v>
      </c>
      <c r="G47" s="10">
        <f t="shared" si="1"/>
        <v>-0.19799999999999995</v>
      </c>
      <c r="H47" s="11">
        <f t="shared" si="2"/>
        <v>0.379</v>
      </c>
      <c r="I47">
        <f t="shared" si="3"/>
        <v>-0.52242744063324531</v>
      </c>
      <c r="M47" s="17"/>
      <c r="N47" s="17"/>
      <c r="O47" s="18"/>
      <c r="P47" s="18"/>
      <c r="Q47" s="19"/>
      <c r="R47" s="19"/>
      <c r="S47" s="18"/>
    </row>
    <row r="48" spans="1:19" ht="15" thickBot="1" x14ac:dyDescent="0.35">
      <c r="A48" s="5" t="s">
        <v>8</v>
      </c>
      <c r="B48" s="6" t="s">
        <v>24</v>
      </c>
      <c r="C48" s="6">
        <v>-7.3999999999999996E-2</v>
      </c>
      <c r="D48" s="6">
        <v>0.32900000000000001</v>
      </c>
      <c r="E48" s="6">
        <v>-4.2999999999999997E-2</v>
      </c>
      <c r="F48" s="6">
        <v>0.22500000000000001</v>
      </c>
      <c r="G48" s="10">
        <f t="shared" si="1"/>
        <v>-0.40300000000000002</v>
      </c>
      <c r="H48" s="11">
        <f t="shared" si="2"/>
        <v>0.1275</v>
      </c>
      <c r="I48">
        <f t="shared" si="3"/>
        <v>-3.1607843137254905</v>
      </c>
      <c r="M48" s="17"/>
      <c r="N48" s="17"/>
      <c r="O48" s="18"/>
      <c r="P48" s="18"/>
      <c r="Q48" s="19"/>
      <c r="R48" s="19"/>
      <c r="S48" s="18"/>
    </row>
    <row r="49" spans="1:19" ht="15" thickBot="1" x14ac:dyDescent="0.35">
      <c r="A49" s="5" t="s">
        <v>8</v>
      </c>
      <c r="B49" s="6" t="s">
        <v>10</v>
      </c>
      <c r="C49" s="6">
        <v>-0.443</v>
      </c>
      <c r="D49" s="6">
        <v>-0.24</v>
      </c>
      <c r="E49" s="6">
        <v>-0.22700000000000001</v>
      </c>
      <c r="F49" s="6">
        <v>-0.29799999999999999</v>
      </c>
      <c r="G49" s="10">
        <f t="shared" si="1"/>
        <v>-0.20300000000000001</v>
      </c>
      <c r="H49" s="11">
        <f t="shared" si="2"/>
        <v>-0.34150000000000003</v>
      </c>
      <c r="I49">
        <f t="shared" si="3"/>
        <v>0.59443631039531475</v>
      </c>
      <c r="M49" s="17"/>
      <c r="N49" s="17"/>
      <c r="O49" s="18"/>
      <c r="P49" s="18"/>
      <c r="Q49" s="19"/>
      <c r="R49" s="19"/>
      <c r="S49" s="18"/>
    </row>
    <row r="50" spans="1:19" ht="15" thickBot="1" x14ac:dyDescent="0.35">
      <c r="A50" s="5" t="s">
        <v>8</v>
      </c>
      <c r="B50" s="6" t="s">
        <v>34</v>
      </c>
      <c r="C50" s="6">
        <v>0.28399999999999997</v>
      </c>
      <c r="D50" s="6">
        <v>7.9000000000000001E-2</v>
      </c>
      <c r="E50" s="6">
        <v>0.19800000000000001</v>
      </c>
      <c r="F50" s="6">
        <v>0.20399999999999999</v>
      </c>
      <c r="G50" s="10">
        <f t="shared" si="1"/>
        <v>0.20499999999999996</v>
      </c>
      <c r="H50" s="11">
        <f t="shared" si="2"/>
        <v>0.18149999999999999</v>
      </c>
      <c r="I50">
        <f t="shared" si="3"/>
        <v>1.1294765840220384</v>
      </c>
      <c r="M50" s="17"/>
      <c r="N50" s="17"/>
      <c r="O50" s="18"/>
      <c r="P50" s="18"/>
      <c r="Q50" s="19"/>
      <c r="R50" s="19"/>
      <c r="S50" s="18"/>
    </row>
    <row r="51" spans="1:19" ht="15" thickBot="1" x14ac:dyDescent="0.35">
      <c r="A51" s="5" t="s">
        <v>11</v>
      </c>
      <c r="B51" s="6" t="s">
        <v>7</v>
      </c>
      <c r="C51" s="6">
        <v>-3.3879999999999999</v>
      </c>
      <c r="D51" s="6">
        <v>3.2509999999999999</v>
      </c>
      <c r="E51" s="6">
        <v>-2.2370000000000001</v>
      </c>
      <c r="F51" s="6">
        <v>1.875</v>
      </c>
      <c r="G51" s="10">
        <f t="shared" si="1"/>
        <v>-6.6389999999999993</v>
      </c>
      <c r="H51" s="11">
        <f t="shared" si="2"/>
        <v>-6.8500000000000005E-2</v>
      </c>
      <c r="I51">
        <f t="shared" si="3"/>
        <v>96.919708029197068</v>
      </c>
      <c r="M51" s="17"/>
      <c r="N51" s="17"/>
      <c r="O51" s="18"/>
      <c r="P51" s="18"/>
      <c r="Q51" s="19"/>
      <c r="R51" s="19"/>
      <c r="S51" s="18"/>
    </row>
    <row r="52" spans="1:19" ht="15" thickBot="1" x14ac:dyDescent="0.35">
      <c r="A52" s="5" t="s">
        <v>36</v>
      </c>
      <c r="B52" s="6" t="s">
        <v>8</v>
      </c>
      <c r="C52" s="6">
        <v>0.82599999999999996</v>
      </c>
      <c r="D52" s="6">
        <v>0.39500000000000002</v>
      </c>
      <c r="E52" s="6">
        <v>0.65300000000000002</v>
      </c>
      <c r="F52" s="6">
        <v>0.58499999999999996</v>
      </c>
      <c r="G52" s="10">
        <f t="shared" si="1"/>
        <v>0.43099999999999994</v>
      </c>
      <c r="H52" s="11">
        <f t="shared" si="2"/>
        <v>0.61050000000000004</v>
      </c>
      <c r="I52">
        <f t="shared" si="3"/>
        <v>0.70597870597870582</v>
      </c>
      <c r="M52" s="17"/>
      <c r="N52" s="17"/>
      <c r="O52" s="18"/>
      <c r="P52" s="18"/>
      <c r="Q52" s="19"/>
      <c r="R52" s="19"/>
      <c r="S52" s="18"/>
    </row>
    <row r="53" spans="1:19" ht="15" thickBot="1" x14ac:dyDescent="0.35">
      <c r="A53" s="5" t="s">
        <v>36</v>
      </c>
      <c r="B53" s="6" t="s">
        <v>35</v>
      </c>
      <c r="C53" s="6">
        <v>-0.73699999999999999</v>
      </c>
      <c r="D53" s="6">
        <v>0.46700000000000003</v>
      </c>
      <c r="E53" s="6">
        <v>-0.45800000000000002</v>
      </c>
      <c r="F53" s="6">
        <v>0.44</v>
      </c>
      <c r="G53" s="10">
        <f t="shared" si="1"/>
        <v>-1.204</v>
      </c>
      <c r="H53" s="11">
        <f t="shared" si="2"/>
        <v>-0.13499999999999998</v>
      </c>
      <c r="I53">
        <f t="shared" si="3"/>
        <v>8.9185185185185194</v>
      </c>
      <c r="M53" s="17"/>
      <c r="N53" s="17"/>
      <c r="O53" s="18"/>
      <c r="P53" s="18"/>
      <c r="Q53" s="18"/>
      <c r="R53" s="19"/>
      <c r="S53" s="18"/>
    </row>
    <row r="54" spans="1:19" ht="15" thickBot="1" x14ac:dyDescent="0.35">
      <c r="A54" s="5" t="s">
        <v>36</v>
      </c>
      <c r="B54" s="6" t="s">
        <v>36</v>
      </c>
      <c r="C54" s="6">
        <v>0.67</v>
      </c>
      <c r="D54" s="6">
        <v>0.54500000000000004</v>
      </c>
      <c r="E54" s="6">
        <v>0.76500000000000001</v>
      </c>
      <c r="F54" s="6">
        <v>0.61799999999999999</v>
      </c>
      <c r="G54" s="10">
        <f t="shared" si="1"/>
        <v>0.125</v>
      </c>
      <c r="H54" s="11">
        <f t="shared" si="2"/>
        <v>0.60750000000000004</v>
      </c>
      <c r="I54">
        <f t="shared" si="3"/>
        <v>0.20576131687242796</v>
      </c>
      <c r="M54" s="17"/>
      <c r="N54" s="17"/>
      <c r="O54" s="18"/>
      <c r="P54" s="18"/>
      <c r="Q54" s="19"/>
      <c r="R54" s="19"/>
      <c r="S54" s="18"/>
    </row>
    <row r="55" spans="1:19" ht="15" thickBot="1" x14ac:dyDescent="0.35">
      <c r="A55" s="5" t="s">
        <v>36</v>
      </c>
      <c r="B55" s="6" t="s">
        <v>7</v>
      </c>
      <c r="C55" s="6">
        <v>0.221</v>
      </c>
      <c r="D55" s="6">
        <v>0.10100000000000001</v>
      </c>
      <c r="E55" s="6">
        <v>0.217</v>
      </c>
      <c r="F55" s="6">
        <v>0.14199999999999999</v>
      </c>
      <c r="G55" s="10">
        <f t="shared" si="1"/>
        <v>0.12</v>
      </c>
      <c r="H55" s="11">
        <f t="shared" si="2"/>
        <v>0.161</v>
      </c>
      <c r="I55">
        <f t="shared" si="3"/>
        <v>0.74534161490683226</v>
      </c>
      <c r="M55" s="17"/>
      <c r="N55" s="17"/>
      <c r="O55" s="18"/>
      <c r="P55" s="18"/>
      <c r="Q55" s="19"/>
      <c r="R55" s="19"/>
      <c r="S55" s="18"/>
    </row>
    <row r="56" spans="1:19" ht="15" thickBot="1" x14ac:dyDescent="0.35">
      <c r="A56" s="5" t="s">
        <v>36</v>
      </c>
      <c r="B56" s="6" t="s">
        <v>9</v>
      </c>
      <c r="C56" s="6">
        <v>-0.55600000000000005</v>
      </c>
      <c r="D56" s="6">
        <v>-4.8000000000000001E-2</v>
      </c>
      <c r="E56" s="6">
        <v>-0.55500000000000005</v>
      </c>
      <c r="F56" s="6">
        <v>-0.1</v>
      </c>
      <c r="G56" s="10">
        <f t="shared" si="1"/>
        <v>-0.50800000000000001</v>
      </c>
      <c r="H56" s="11">
        <f t="shared" si="2"/>
        <v>-0.30200000000000005</v>
      </c>
      <c r="I56">
        <f t="shared" si="3"/>
        <v>1.682119205298013</v>
      </c>
      <c r="M56" s="17"/>
      <c r="N56" s="17"/>
      <c r="O56" s="18"/>
      <c r="P56" s="18"/>
      <c r="Q56" s="19"/>
      <c r="R56" s="19"/>
      <c r="S56" s="18"/>
    </row>
    <row r="57" spans="1:19" ht="15" thickBot="1" x14ac:dyDescent="0.35">
      <c r="A57" s="5" t="s">
        <v>7</v>
      </c>
      <c r="B57" s="6" t="s">
        <v>33</v>
      </c>
      <c r="C57" s="6">
        <v>2.444</v>
      </c>
      <c r="D57" s="6">
        <v>1.53</v>
      </c>
      <c r="E57" s="6">
        <v>1.5269999999999999</v>
      </c>
      <c r="F57" s="6">
        <v>1.2190000000000001</v>
      </c>
      <c r="G57" s="10">
        <f t="shared" si="1"/>
        <v>0.91399999999999992</v>
      </c>
      <c r="H57" s="11">
        <f t="shared" si="2"/>
        <v>1.9870000000000001</v>
      </c>
      <c r="I57">
        <f t="shared" si="3"/>
        <v>0.45998993457473575</v>
      </c>
      <c r="M57" s="17"/>
      <c r="N57" s="17"/>
      <c r="O57" s="18"/>
      <c r="P57" s="18"/>
      <c r="Q57" s="19"/>
      <c r="R57" s="19"/>
      <c r="S57" s="18"/>
    </row>
    <row r="58" spans="1:19" ht="15" thickBot="1" x14ac:dyDescent="0.35">
      <c r="A58" s="5" t="s">
        <v>7</v>
      </c>
      <c r="B58" s="6" t="s">
        <v>8</v>
      </c>
      <c r="C58" s="6">
        <v>-1.4850000000000001</v>
      </c>
      <c r="D58" s="6">
        <v>0.70699999999999996</v>
      </c>
      <c r="E58" s="6">
        <v>-1.0489999999999999</v>
      </c>
      <c r="F58" s="6">
        <v>0.16700000000000001</v>
      </c>
      <c r="G58" s="10">
        <f t="shared" si="1"/>
        <v>-2.1920000000000002</v>
      </c>
      <c r="H58" s="11">
        <f t="shared" si="2"/>
        <v>-0.38900000000000007</v>
      </c>
      <c r="I58">
        <f t="shared" si="3"/>
        <v>5.6349614395886887</v>
      </c>
      <c r="M58" s="17"/>
      <c r="N58" s="17"/>
      <c r="O58" s="18"/>
      <c r="P58" s="18"/>
      <c r="Q58" s="18"/>
      <c r="R58" s="18"/>
      <c r="S58" s="18"/>
    </row>
    <row r="59" spans="1:19" ht="15" thickBot="1" x14ac:dyDescent="0.35">
      <c r="A59" s="5" t="s">
        <v>7</v>
      </c>
      <c r="B59" s="6" t="s">
        <v>35</v>
      </c>
      <c r="C59" s="6">
        <v>2.9870000000000001</v>
      </c>
      <c r="D59" s="6">
        <v>-4.0019999999999998</v>
      </c>
      <c r="E59" s="6">
        <v>1.7689999999999999</v>
      </c>
      <c r="F59" s="6">
        <v>-2.6640000000000001</v>
      </c>
      <c r="G59" s="10">
        <f t="shared" si="1"/>
        <v>6.9889999999999999</v>
      </c>
      <c r="H59" s="11">
        <f t="shared" si="2"/>
        <v>-0.50749999999999984</v>
      </c>
      <c r="I59">
        <f t="shared" si="3"/>
        <v>-13.771428571428576</v>
      </c>
      <c r="M59" s="17"/>
      <c r="N59" s="17"/>
      <c r="O59" s="18"/>
      <c r="P59" s="18"/>
      <c r="Q59" s="18"/>
      <c r="R59" s="18"/>
      <c r="S59" s="18"/>
    </row>
    <row r="60" spans="1:19" ht="15" thickBot="1" x14ac:dyDescent="0.35">
      <c r="A60" s="5" t="s">
        <v>7</v>
      </c>
      <c r="B60" s="6" t="s">
        <v>24</v>
      </c>
      <c r="C60" s="6">
        <v>-0.124</v>
      </c>
      <c r="D60" s="6">
        <v>-1.268</v>
      </c>
      <c r="E60" s="6">
        <v>-6.0000000000000001E-3</v>
      </c>
      <c r="F60" s="6">
        <v>-1.0249999999999999</v>
      </c>
      <c r="G60" s="10">
        <f t="shared" si="1"/>
        <v>1.1440000000000001</v>
      </c>
      <c r="H60" s="11">
        <f t="shared" si="2"/>
        <v>-0.69599999999999995</v>
      </c>
      <c r="I60">
        <f t="shared" si="3"/>
        <v>-1.6436781609195406</v>
      </c>
      <c r="M60" s="17"/>
      <c r="N60" s="17"/>
      <c r="O60" s="18"/>
      <c r="P60" s="18"/>
      <c r="Q60" s="18"/>
      <c r="R60" s="18"/>
      <c r="S60" s="18"/>
    </row>
    <row r="61" spans="1:19" ht="15" thickBot="1" x14ac:dyDescent="0.35">
      <c r="A61" s="5" t="s">
        <v>7</v>
      </c>
      <c r="B61" s="6" t="s">
        <v>14</v>
      </c>
      <c r="C61" s="6">
        <v>-0.86599999999999999</v>
      </c>
      <c r="D61" s="6">
        <v>0.44</v>
      </c>
      <c r="E61" s="6">
        <v>-0.95099999999999996</v>
      </c>
      <c r="F61" s="6">
        <v>-0.28599999999999998</v>
      </c>
      <c r="G61" s="10">
        <f t="shared" si="1"/>
        <v>-1.306</v>
      </c>
      <c r="H61" s="11">
        <f t="shared" si="2"/>
        <v>-0.21299999999999999</v>
      </c>
      <c r="I61">
        <f t="shared" si="3"/>
        <v>6.131455399061033</v>
      </c>
      <c r="M61" s="17"/>
      <c r="N61" s="17"/>
      <c r="O61" s="18"/>
      <c r="P61" s="18"/>
      <c r="Q61" s="18"/>
      <c r="R61" s="18"/>
      <c r="S61" s="18"/>
    </row>
    <row r="62" spans="1:19" ht="15" thickBot="1" x14ac:dyDescent="0.35">
      <c r="A62" s="5" t="s">
        <v>7</v>
      </c>
      <c r="B62" s="6" t="s">
        <v>34</v>
      </c>
      <c r="C62" s="6">
        <v>8.8999999999999996E-2</v>
      </c>
      <c r="D62" s="6">
        <v>2.8940000000000001</v>
      </c>
      <c r="E62" s="6">
        <v>-0.51100000000000001</v>
      </c>
      <c r="F62" s="6">
        <v>1.044</v>
      </c>
      <c r="G62" s="10">
        <f t="shared" si="1"/>
        <v>-2.8050000000000002</v>
      </c>
      <c r="H62" s="11">
        <f t="shared" si="2"/>
        <v>1.4915</v>
      </c>
      <c r="I62">
        <f t="shared" si="3"/>
        <v>-1.8806570566543748</v>
      </c>
      <c r="M62" s="17"/>
      <c r="N62" s="17"/>
      <c r="O62" s="18"/>
      <c r="P62" s="18"/>
      <c r="Q62" s="18"/>
      <c r="R62" s="18"/>
      <c r="S62" s="18"/>
    </row>
    <row r="63" spans="1:19" ht="15" thickBot="1" x14ac:dyDescent="0.35">
      <c r="A63" s="5" t="s">
        <v>7</v>
      </c>
      <c r="B63" s="6" t="s">
        <v>9</v>
      </c>
      <c r="C63" s="6">
        <v>-1.9830000000000001</v>
      </c>
      <c r="D63" s="6">
        <v>1.948</v>
      </c>
      <c r="E63" s="6">
        <v>-1.524</v>
      </c>
      <c r="F63" s="6">
        <v>1.036</v>
      </c>
      <c r="G63" s="10">
        <f t="shared" si="1"/>
        <v>-3.931</v>
      </c>
      <c r="H63" s="11">
        <f t="shared" si="2"/>
        <v>-1.7500000000000071E-2</v>
      </c>
      <c r="I63">
        <f t="shared" si="3"/>
        <v>224.62857142857052</v>
      </c>
      <c r="M63" s="17"/>
      <c r="N63" s="17"/>
      <c r="O63" s="18"/>
      <c r="P63" s="18"/>
      <c r="Q63" s="19"/>
      <c r="R63" s="19"/>
      <c r="S63" s="18"/>
    </row>
    <row r="64" spans="1:19" ht="15" thickBot="1" x14ac:dyDescent="0.35">
      <c r="A64" s="5" t="s">
        <v>24</v>
      </c>
      <c r="B64" s="6" t="s">
        <v>12</v>
      </c>
      <c r="C64" s="6">
        <v>-2.85</v>
      </c>
      <c r="D64" s="6">
        <v>-1.7929999999999999</v>
      </c>
      <c r="E64" s="6">
        <v>-2.016</v>
      </c>
      <c r="F64" s="6">
        <v>-1.4470000000000001</v>
      </c>
      <c r="G64" s="10">
        <f t="shared" si="1"/>
        <v>-1.0570000000000002</v>
      </c>
      <c r="H64" s="11">
        <f t="shared" si="2"/>
        <v>-2.3214999999999999</v>
      </c>
      <c r="I64">
        <f t="shared" si="3"/>
        <v>0.45530906741331045</v>
      </c>
      <c r="M64" s="17"/>
      <c r="N64" s="17"/>
      <c r="O64" s="18"/>
      <c r="P64" s="18"/>
      <c r="Q64" s="19"/>
      <c r="R64" s="19"/>
      <c r="S64" s="18"/>
    </row>
    <row r="65" spans="1:19" ht="15" thickBot="1" x14ac:dyDescent="0.35">
      <c r="A65" s="5" t="s">
        <v>10</v>
      </c>
      <c r="B65" s="6" t="s">
        <v>35</v>
      </c>
      <c r="C65" s="6">
        <v>0.77400000000000002</v>
      </c>
      <c r="D65" s="6">
        <v>1.704</v>
      </c>
      <c r="E65" s="6">
        <v>-1.1459999999999999</v>
      </c>
      <c r="F65" s="6">
        <v>-5.2999999999999999E-2</v>
      </c>
      <c r="G65" s="10">
        <f t="shared" si="1"/>
        <v>-0.92999999999999994</v>
      </c>
      <c r="H65" s="11">
        <f t="shared" si="2"/>
        <v>1.2389999999999999</v>
      </c>
      <c r="I65">
        <f t="shared" si="3"/>
        <v>-0.75060532687651338</v>
      </c>
      <c r="M65" s="17"/>
      <c r="N65" s="17"/>
      <c r="O65" s="18"/>
      <c r="P65" s="18"/>
      <c r="Q65" s="18"/>
      <c r="R65" s="18"/>
      <c r="S65" s="18"/>
    </row>
    <row r="66" spans="1:19" ht="15" thickBot="1" x14ac:dyDescent="0.35">
      <c r="A66" s="5" t="s">
        <v>10</v>
      </c>
      <c r="B66" s="6" t="s">
        <v>24</v>
      </c>
      <c r="C66" s="6">
        <v>-0.54900000000000004</v>
      </c>
      <c r="D66" s="6">
        <v>1.5329999999999999</v>
      </c>
      <c r="E66" s="6">
        <v>-4.2999999999999997E-2</v>
      </c>
      <c r="F66" s="6">
        <v>0.63700000000000001</v>
      </c>
      <c r="G66" s="10">
        <f t="shared" si="1"/>
        <v>-2.0819999999999999</v>
      </c>
      <c r="H66" s="11">
        <f t="shared" si="2"/>
        <v>0.49199999999999994</v>
      </c>
      <c r="I66">
        <f t="shared" si="3"/>
        <v>-4.2317073170731714</v>
      </c>
      <c r="M66" s="17"/>
      <c r="N66" s="17"/>
      <c r="O66" s="18"/>
      <c r="P66" s="18"/>
      <c r="Q66" s="19"/>
      <c r="R66" s="19"/>
      <c r="S66" s="18"/>
    </row>
    <row r="67" spans="1:19" ht="15" thickBot="1" x14ac:dyDescent="0.35">
      <c r="A67" s="5" t="s">
        <v>14</v>
      </c>
      <c r="B67" s="6" t="s">
        <v>35</v>
      </c>
      <c r="C67" s="6">
        <v>-2.9529999999999998</v>
      </c>
      <c r="D67" s="6">
        <v>-0.29199999999999998</v>
      </c>
      <c r="E67" s="6">
        <v>-1.619</v>
      </c>
      <c r="F67" s="6">
        <v>0.48599999999999999</v>
      </c>
      <c r="G67" s="10">
        <f t="shared" si="1"/>
        <v>-2.661</v>
      </c>
      <c r="H67" s="11">
        <f t="shared" si="2"/>
        <v>-1.6224999999999998</v>
      </c>
      <c r="I67">
        <f t="shared" si="3"/>
        <v>1.6400616332819724</v>
      </c>
    </row>
    <row r="68" spans="1:19" ht="15" thickBot="1" x14ac:dyDescent="0.35">
      <c r="A68" s="5" t="s">
        <v>14</v>
      </c>
      <c r="B68" s="6" t="s">
        <v>34</v>
      </c>
      <c r="C68" s="6">
        <v>-2.3E-2</v>
      </c>
      <c r="D68" s="6">
        <v>-3.0289999999999999</v>
      </c>
      <c r="E68" s="6">
        <v>3.0000000000000001E-3</v>
      </c>
      <c r="F68" s="6">
        <v>-0.98599999999999999</v>
      </c>
      <c r="G68" s="10">
        <f t="shared" si="1"/>
        <v>3.0059999999999998</v>
      </c>
      <c r="H68" s="11">
        <f t="shared" si="2"/>
        <v>-1.526</v>
      </c>
      <c r="I68">
        <f t="shared" si="3"/>
        <v>-1.9698558322411532</v>
      </c>
    </row>
    <row r="69" spans="1:19" ht="15" thickBot="1" x14ac:dyDescent="0.35">
      <c r="A69" s="5" t="s">
        <v>14</v>
      </c>
      <c r="B69" s="6" t="s">
        <v>9</v>
      </c>
      <c r="C69" s="6">
        <v>-0.26</v>
      </c>
      <c r="D69" s="6">
        <v>-1.5409999999999999</v>
      </c>
      <c r="E69" s="6">
        <v>0.34200000000000003</v>
      </c>
      <c r="F69" s="6">
        <v>-1.2689999999999999</v>
      </c>
      <c r="G69" s="10">
        <f t="shared" si="1"/>
        <v>1.2809999999999999</v>
      </c>
      <c r="H69" s="11">
        <f t="shared" si="2"/>
        <v>-0.90049999999999997</v>
      </c>
      <c r="I69">
        <f t="shared" si="3"/>
        <v>-1.4225430316490839</v>
      </c>
    </row>
    <row r="70" spans="1:19" ht="15" thickBot="1" x14ac:dyDescent="0.35">
      <c r="A70" s="5" t="s">
        <v>12</v>
      </c>
      <c r="B70" s="6" t="s">
        <v>33</v>
      </c>
      <c r="C70" s="6">
        <v>5.2119999999999997</v>
      </c>
      <c r="D70" s="6">
        <v>-1.7709999999999999</v>
      </c>
      <c r="E70" s="6">
        <v>2.8650000000000002</v>
      </c>
      <c r="F70" s="6">
        <v>-1.1220000000000001</v>
      </c>
      <c r="G70" s="10">
        <f t="shared" si="1"/>
        <v>6.9829999999999997</v>
      </c>
      <c r="H70" s="11">
        <f t="shared" si="2"/>
        <v>1.7204999999999999</v>
      </c>
      <c r="I70">
        <f t="shared" si="3"/>
        <v>4.0587038651554783</v>
      </c>
    </row>
    <row r="71" spans="1:19" ht="16.2" thickBot="1" x14ac:dyDescent="0.35">
      <c r="A71" s="5" t="s">
        <v>34</v>
      </c>
      <c r="B71" s="6" t="s">
        <v>23</v>
      </c>
      <c r="C71" s="6">
        <v>1.518</v>
      </c>
      <c r="D71" s="6">
        <v>1.806</v>
      </c>
      <c r="E71" s="6">
        <v>0.746</v>
      </c>
      <c r="F71" s="6">
        <v>0.749</v>
      </c>
      <c r="G71" s="10">
        <f t="shared" si="1"/>
        <v>-0.28800000000000003</v>
      </c>
      <c r="H71" s="11">
        <f t="shared" si="2"/>
        <v>1.6619999999999999</v>
      </c>
      <c r="I71">
        <f t="shared" si="3"/>
        <v>-0.1732851985559567</v>
      </c>
      <c r="M71" s="21" t="s">
        <v>82</v>
      </c>
      <c r="N71" s="23" t="s">
        <v>83</v>
      </c>
      <c r="O71" s="24" t="s">
        <v>84</v>
      </c>
    </row>
    <row r="72" spans="1:19" ht="16.2" thickBot="1" x14ac:dyDescent="0.35">
      <c r="A72" s="5" t="s">
        <v>5</v>
      </c>
      <c r="B72" s="6" t="s">
        <v>2</v>
      </c>
      <c r="C72" s="6">
        <v>0.77200000000000002</v>
      </c>
      <c r="D72" s="6">
        <v>0.92400000000000004</v>
      </c>
      <c r="E72" s="6">
        <v>0.88200000000000001</v>
      </c>
      <c r="F72" s="6">
        <v>0.93799999999999994</v>
      </c>
      <c r="G72" s="10">
        <f t="shared" si="1"/>
        <v>-0.15200000000000002</v>
      </c>
      <c r="H72" s="11">
        <f t="shared" si="2"/>
        <v>0.84800000000000009</v>
      </c>
      <c r="I72">
        <f t="shared" si="3"/>
        <v>-0.17924528301886794</v>
      </c>
      <c r="M72" s="20" t="s">
        <v>85</v>
      </c>
      <c r="N72" s="25">
        <v>2.0899999999999998E-2</v>
      </c>
      <c r="O72" s="26" t="s">
        <v>86</v>
      </c>
    </row>
    <row r="73" spans="1:19" ht="16.2" thickBot="1" x14ac:dyDescent="0.35">
      <c r="A73" s="7" t="s">
        <v>37</v>
      </c>
      <c r="B73" s="8">
        <v>6.4889999999999999</v>
      </c>
      <c r="M73" s="20" t="s">
        <v>87</v>
      </c>
      <c r="N73" s="25">
        <v>6.5299999999999997E-2</v>
      </c>
      <c r="O73" s="26" t="s">
        <v>88</v>
      </c>
    </row>
    <row r="74" spans="1:19" ht="16.2" thickBot="1" x14ac:dyDescent="0.35">
      <c r="A74" s="8">
        <v>44.582999999999998</v>
      </c>
      <c r="B74" s="8">
        <v>19.071000000000002</v>
      </c>
      <c r="M74" s="20" t="s">
        <v>89</v>
      </c>
      <c r="N74" s="25">
        <v>0.64159999999999995</v>
      </c>
      <c r="O74" s="26" t="s">
        <v>90</v>
      </c>
    </row>
    <row r="75" spans="1:19" ht="16.2" thickBot="1" x14ac:dyDescent="0.35">
      <c r="A75" s="9" t="s">
        <v>38</v>
      </c>
      <c r="M75" s="20" t="s">
        <v>91</v>
      </c>
      <c r="N75" s="25">
        <v>1.5531999999999999</v>
      </c>
      <c r="O75" s="26" t="s">
        <v>92</v>
      </c>
    </row>
    <row r="76" spans="1:19" ht="16.2" thickBot="1" x14ac:dyDescent="0.35">
      <c r="A76" s="9" t="s">
        <v>39</v>
      </c>
      <c r="M76" s="20" t="s">
        <v>93</v>
      </c>
      <c r="N76" s="25">
        <v>2.5158</v>
      </c>
      <c r="O76" s="26" t="s">
        <v>94</v>
      </c>
    </row>
    <row r="77" spans="1:19" ht="16.2" thickBot="1" x14ac:dyDescent="0.35">
      <c r="M77" s="20" t="s">
        <v>95</v>
      </c>
      <c r="N77" s="25">
        <v>2.1399999999999999E-2</v>
      </c>
      <c r="O77" s="26" t="s">
        <v>97</v>
      </c>
    </row>
    <row r="78" spans="1:19" ht="16.2" thickBot="1" x14ac:dyDescent="0.35">
      <c r="M78" s="20" t="s">
        <v>98</v>
      </c>
      <c r="N78" s="25">
        <v>2.2486000000000002</v>
      </c>
      <c r="O78" s="26" t="s">
        <v>99</v>
      </c>
    </row>
    <row r="79" spans="1:19" ht="16.2" thickBot="1" x14ac:dyDescent="0.35">
      <c r="M79" s="20" t="s">
        <v>100</v>
      </c>
      <c r="N79" s="25">
        <v>4.1162000000000001</v>
      </c>
      <c r="O79" s="26" t="s">
        <v>101</v>
      </c>
    </row>
    <row r="80" spans="1:19" ht="16.2" thickBot="1" x14ac:dyDescent="0.35">
      <c r="M80" s="20" t="s">
        <v>102</v>
      </c>
      <c r="N80" s="25">
        <v>3.8275999999999999</v>
      </c>
      <c r="O80" s="26" t="s">
        <v>103</v>
      </c>
    </row>
    <row r="81" spans="13:15" ht="16.2" thickBot="1" x14ac:dyDescent="0.35">
      <c r="M81" s="20" t="s">
        <v>104</v>
      </c>
      <c r="N81" s="25">
        <v>1.1137999999999999</v>
      </c>
      <c r="O81" s="26" t="s">
        <v>105</v>
      </c>
    </row>
    <row r="82" spans="13:15" ht="16.2" thickBot="1" x14ac:dyDescent="0.35">
      <c r="M82" s="20" t="s">
        <v>106</v>
      </c>
      <c r="N82" s="25">
        <v>7.9799999999999996E-2</v>
      </c>
      <c r="O82" s="26" t="s">
        <v>107</v>
      </c>
    </row>
    <row r="83" spans="13:15" ht="16.2" thickBot="1" x14ac:dyDescent="0.35">
      <c r="M83" s="20" t="s">
        <v>108</v>
      </c>
      <c r="N83" s="25">
        <v>4.5805999999999996</v>
      </c>
      <c r="O83" s="26" t="s">
        <v>109</v>
      </c>
    </row>
    <row r="84" spans="13:15" ht="16.2" thickBot="1" x14ac:dyDescent="0.35">
      <c r="M84" s="20" t="s">
        <v>110</v>
      </c>
      <c r="N84" s="25">
        <v>4.4741999999999997</v>
      </c>
      <c r="O84" s="26" t="s">
        <v>111</v>
      </c>
    </row>
    <row r="85" spans="13:15" ht="16.2" thickBot="1" x14ac:dyDescent="0.35">
      <c r="M85" s="20" t="s">
        <v>112</v>
      </c>
      <c r="N85" s="25">
        <v>6.85</v>
      </c>
      <c r="O85" s="26" t="s">
        <v>113</v>
      </c>
    </row>
    <row r="86" spans="13:15" ht="16.2" thickBot="1" x14ac:dyDescent="0.35">
      <c r="M86" s="20" t="s">
        <v>114</v>
      </c>
      <c r="N86" s="25">
        <v>5.9286000000000003</v>
      </c>
      <c r="O86" s="26" t="s">
        <v>96</v>
      </c>
    </row>
    <row r="87" spans="13:15" ht="16.2" thickBot="1" x14ac:dyDescent="0.35">
      <c r="M87" s="20" t="s">
        <v>115</v>
      </c>
      <c r="N87" s="25">
        <v>8.8409999999999993</v>
      </c>
      <c r="O87" s="26" t="s">
        <v>116</v>
      </c>
    </row>
    <row r="88" spans="13:15" ht="16.2" thickBot="1" x14ac:dyDescent="0.35">
      <c r="M88" s="20" t="s">
        <v>117</v>
      </c>
      <c r="N88" s="25">
        <v>5.2995999999999999</v>
      </c>
      <c r="O88" s="26" t="s">
        <v>118</v>
      </c>
    </row>
    <row r="89" spans="13:15" ht="16.2" thickBot="1" x14ac:dyDescent="0.35">
      <c r="M89" s="20" t="s">
        <v>119</v>
      </c>
      <c r="N89" s="25">
        <v>0.60189999999999999</v>
      </c>
      <c r="O89" s="26" t="s">
        <v>120</v>
      </c>
    </row>
    <row r="90" spans="13:15" ht="16.2" thickBot="1" x14ac:dyDescent="0.35">
      <c r="M90" s="20" t="s">
        <v>121</v>
      </c>
      <c r="N90" s="25">
        <v>0.27389999999999998</v>
      </c>
      <c r="O90" s="26" t="s">
        <v>122</v>
      </c>
    </row>
    <row r="91" spans="13:15" ht="16.2" thickBot="1" x14ac:dyDescent="0.35">
      <c r="M91" s="20" t="s">
        <v>123</v>
      </c>
      <c r="N91" s="25">
        <v>26.9602</v>
      </c>
      <c r="O91" s="26" t="s">
        <v>124</v>
      </c>
    </row>
    <row r="92" spans="13:15" ht="15.6" x14ac:dyDescent="0.3">
      <c r="M92" s="22" t="s">
        <v>125</v>
      </c>
      <c r="N92" s="27">
        <v>4.9844999999999997</v>
      </c>
      <c r="O92" s="28" t="s">
        <v>126</v>
      </c>
    </row>
    <row r="99" spans="13:19" ht="56.4" x14ac:dyDescent="0.3">
      <c r="M99" s="16" t="s">
        <v>76</v>
      </c>
      <c r="N99" s="16" t="s">
        <v>77</v>
      </c>
      <c r="O99" s="16" t="s">
        <v>78</v>
      </c>
      <c r="P99" s="16" t="s">
        <v>79</v>
      </c>
      <c r="Q99" s="16" t="s">
        <v>80</v>
      </c>
      <c r="R99" s="16" t="s">
        <v>127</v>
      </c>
      <c r="S99" s="16" t="s">
        <v>81</v>
      </c>
    </row>
    <row r="100" spans="13:19" x14ac:dyDescent="0.3">
      <c r="M100" s="17">
        <v>1</v>
      </c>
      <c r="N100" s="17">
        <v>10</v>
      </c>
      <c r="O100" s="18">
        <v>2.0856817999999999E-2</v>
      </c>
      <c r="P100" s="19">
        <v>1.02433E-7</v>
      </c>
      <c r="Q100" s="19">
        <v>3.6031300000000003E-8</v>
      </c>
      <c r="R100" s="19">
        <v>1.6926700000000001E-12</v>
      </c>
      <c r="S100" s="18">
        <v>2.0856956465992667E-2</v>
      </c>
    </row>
    <row r="101" spans="13:19" x14ac:dyDescent="0.3">
      <c r="M101" s="17">
        <v>2</v>
      </c>
      <c r="N101" s="17">
        <v>9</v>
      </c>
      <c r="O101" s="18">
        <v>6.5284122E-2</v>
      </c>
      <c r="P101" s="19">
        <v>1.33007E-6</v>
      </c>
      <c r="Q101" s="19">
        <v>9.2077699999999999E-9</v>
      </c>
      <c r="R101" s="19">
        <v>6.2412399999999997E-11</v>
      </c>
      <c r="S101" s="18">
        <v>6.5285461340182399E-2</v>
      </c>
    </row>
    <row r="102" spans="13:19" x14ac:dyDescent="0.3">
      <c r="M102" s="17">
        <v>3</v>
      </c>
      <c r="N102" s="17">
        <v>20</v>
      </c>
      <c r="O102" s="18">
        <v>0.64156040199999997</v>
      </c>
      <c r="P102" s="18">
        <v>0.198150831</v>
      </c>
      <c r="Q102" s="19">
        <v>1.74914E-9</v>
      </c>
      <c r="R102" s="19">
        <v>1.2759999999999999E-9</v>
      </c>
      <c r="S102" s="18">
        <v>0.83971123602513997</v>
      </c>
    </row>
    <row r="103" spans="13:19" x14ac:dyDescent="0.3">
      <c r="M103" s="17">
        <v>4</v>
      </c>
      <c r="N103" s="17">
        <v>3</v>
      </c>
      <c r="O103" s="18">
        <v>1.553205822</v>
      </c>
      <c r="P103" s="18">
        <v>2.4502600000000002E-4</v>
      </c>
      <c r="Q103" s="19">
        <v>3.4340500000000002E-8</v>
      </c>
      <c r="R103" s="19">
        <v>8.4351199999999993E-9</v>
      </c>
      <c r="S103" s="18">
        <v>1.5534508907756199</v>
      </c>
    </row>
    <row r="104" spans="13:19" x14ac:dyDescent="0.3">
      <c r="M104" s="17">
        <v>5</v>
      </c>
      <c r="N104" s="17">
        <v>6</v>
      </c>
      <c r="O104" s="18">
        <v>2.515817744</v>
      </c>
      <c r="P104" s="18">
        <v>0.75997610500000001</v>
      </c>
      <c r="Q104" s="19">
        <v>2.84907E-7</v>
      </c>
      <c r="R104" s="19">
        <v>4.2707800000000002E-10</v>
      </c>
      <c r="S104" s="18">
        <v>3.2757941343340784</v>
      </c>
    </row>
    <row r="105" spans="13:19" x14ac:dyDescent="0.3">
      <c r="M105" s="17">
        <v>6</v>
      </c>
      <c r="N105" s="17">
        <v>19</v>
      </c>
      <c r="O105" s="18">
        <v>2.1391358999999999E-2</v>
      </c>
      <c r="P105" s="18">
        <v>3.7478403669999998</v>
      </c>
      <c r="Q105" s="19">
        <v>7.3397999999999996E-6</v>
      </c>
      <c r="R105" s="19">
        <v>1.34146E-11</v>
      </c>
      <c r="S105" s="18">
        <v>3.7692390658134141</v>
      </c>
    </row>
    <row r="106" spans="13:19" x14ac:dyDescent="0.3">
      <c r="M106" s="17">
        <v>7</v>
      </c>
      <c r="N106" s="17">
        <v>8</v>
      </c>
      <c r="O106" s="18">
        <v>2.2486088560000002</v>
      </c>
      <c r="P106" s="18">
        <v>1.964952687</v>
      </c>
      <c r="Q106" s="19">
        <v>8.1226099999999995E-10</v>
      </c>
      <c r="R106" s="19">
        <v>3.9195599999999997E-11</v>
      </c>
      <c r="S106" s="18">
        <v>4.2135615438514566</v>
      </c>
    </row>
    <row r="107" spans="13:19" x14ac:dyDescent="0.3">
      <c r="M107" s="17">
        <v>8</v>
      </c>
      <c r="N107" s="17">
        <v>5</v>
      </c>
      <c r="O107" s="18">
        <v>4.1162418000000001</v>
      </c>
      <c r="P107" s="18">
        <v>0.23689189899999999</v>
      </c>
      <c r="Q107" s="19">
        <v>3.6303600000000002E-6</v>
      </c>
      <c r="R107" s="19">
        <v>4.3224999999999998E-11</v>
      </c>
      <c r="S107" s="18">
        <v>4.353137329403225</v>
      </c>
    </row>
    <row r="108" spans="13:19" x14ac:dyDescent="0.3">
      <c r="M108" s="17">
        <v>9</v>
      </c>
      <c r="N108" s="17">
        <v>21</v>
      </c>
      <c r="O108" s="18">
        <v>3.8275664659999999</v>
      </c>
      <c r="P108" s="18">
        <v>2.3122863E-2</v>
      </c>
      <c r="Q108" s="18">
        <v>1.1925822189999999</v>
      </c>
      <c r="R108" s="19">
        <v>3.4098399999999999E-9</v>
      </c>
      <c r="S108" s="18">
        <v>5.0432715514098403</v>
      </c>
    </row>
    <row r="109" spans="13:19" x14ac:dyDescent="0.3">
      <c r="M109" s="17">
        <v>10</v>
      </c>
      <c r="N109" s="17">
        <v>12</v>
      </c>
      <c r="O109" s="18">
        <v>1.113756118</v>
      </c>
      <c r="P109" s="18">
        <v>5.942932152</v>
      </c>
      <c r="Q109" s="19">
        <v>1.1991900000000001E-9</v>
      </c>
      <c r="R109" s="19">
        <v>4.9336599999999999E-10</v>
      </c>
      <c r="S109" s="18">
        <v>7.0566882716925567</v>
      </c>
    </row>
    <row r="110" spans="13:19" x14ac:dyDescent="0.3">
      <c r="M110" s="17">
        <v>11</v>
      </c>
      <c r="N110" s="17">
        <v>15</v>
      </c>
      <c r="O110" s="18">
        <v>7.9774977999999996E-2</v>
      </c>
      <c r="P110" s="18">
        <v>9.1071930600000002</v>
      </c>
      <c r="Q110" s="19">
        <v>8.6778699999999996E-11</v>
      </c>
      <c r="R110" s="19">
        <v>8.4445200000000005E-12</v>
      </c>
      <c r="S110" s="18">
        <v>9.1869680380952232</v>
      </c>
    </row>
    <row r="111" spans="13:19" x14ac:dyDescent="0.3">
      <c r="M111" s="17">
        <v>12</v>
      </c>
      <c r="N111" s="17">
        <v>4</v>
      </c>
      <c r="O111" s="18">
        <v>4.5806138980000002</v>
      </c>
      <c r="P111" s="18">
        <v>7.7363728209999998</v>
      </c>
      <c r="Q111" s="19">
        <v>3.04047E-6</v>
      </c>
      <c r="R111" s="19">
        <v>2.3978000000000001E-8</v>
      </c>
      <c r="S111" s="18">
        <v>12.316989783447999</v>
      </c>
    </row>
    <row r="112" spans="13:19" x14ac:dyDescent="0.3">
      <c r="M112" s="17">
        <v>13</v>
      </c>
      <c r="N112" s="17">
        <v>17</v>
      </c>
      <c r="O112" s="18">
        <v>4.4742410159999997</v>
      </c>
      <c r="P112" s="18">
        <v>2.67405E-7</v>
      </c>
      <c r="Q112" s="18">
        <v>4.5015572260000001</v>
      </c>
      <c r="R112" s="18">
        <v>4.4999161460000003</v>
      </c>
      <c r="S112" s="18">
        <v>13.475714655405</v>
      </c>
    </row>
    <row r="113" spans="13:19" x14ac:dyDescent="0.3">
      <c r="M113" s="17">
        <v>14</v>
      </c>
      <c r="N113" s="17">
        <v>14</v>
      </c>
      <c r="O113" s="18">
        <v>6.8499549880000004</v>
      </c>
      <c r="P113" s="18">
        <v>3.7517900000000003E-9</v>
      </c>
      <c r="Q113" s="18">
        <v>4.4998625069999996</v>
      </c>
      <c r="R113" s="18">
        <v>4.5001084450000004</v>
      </c>
      <c r="S113" s="18">
        <v>15.84992594375179</v>
      </c>
    </row>
    <row r="114" spans="13:19" x14ac:dyDescent="0.3">
      <c r="M114" s="17">
        <v>15</v>
      </c>
      <c r="N114" s="17">
        <v>2</v>
      </c>
      <c r="O114" s="18">
        <v>5.9285567019999998</v>
      </c>
      <c r="P114" s="18">
        <v>2.918055388</v>
      </c>
      <c r="Q114" s="18">
        <v>4.3002266479999998</v>
      </c>
      <c r="R114" s="18">
        <v>3.7478482199999998</v>
      </c>
      <c r="S114" s="18">
        <v>16.894686958000001</v>
      </c>
    </row>
    <row r="115" spans="13:19" x14ac:dyDescent="0.3">
      <c r="M115" s="17">
        <v>16</v>
      </c>
      <c r="N115" s="17">
        <v>18</v>
      </c>
      <c r="O115" s="18">
        <v>8.8409890549999997</v>
      </c>
      <c r="P115" s="18">
        <v>3.6687500000000001E-4</v>
      </c>
      <c r="Q115" s="18">
        <v>7.1053368109999999</v>
      </c>
      <c r="R115" s="18">
        <v>7.4670175959999998</v>
      </c>
      <c r="S115" s="18">
        <v>23.413710336999998</v>
      </c>
    </row>
    <row r="116" spans="13:19" x14ac:dyDescent="0.3">
      <c r="M116" s="17">
        <v>17</v>
      </c>
      <c r="N116" s="17">
        <v>11</v>
      </c>
      <c r="O116" s="18">
        <v>5.2996438589999997</v>
      </c>
      <c r="P116" s="18">
        <v>25.025922980000001</v>
      </c>
      <c r="Q116" s="18">
        <v>5.3388769999999997E-3</v>
      </c>
      <c r="R116" s="18">
        <v>3.153739E-3</v>
      </c>
      <c r="S116" s="18">
        <v>30.334059454999998</v>
      </c>
    </row>
    <row r="117" spans="13:19" x14ac:dyDescent="0.3">
      <c r="M117" s="17">
        <v>18</v>
      </c>
      <c r="N117" s="17">
        <v>7</v>
      </c>
      <c r="O117" s="18">
        <v>0.60187746399999997</v>
      </c>
      <c r="P117" s="18">
        <v>32.959758049999998</v>
      </c>
      <c r="Q117" s="19">
        <v>4.5123700000000001E-10</v>
      </c>
      <c r="R117" s="19">
        <v>2.6853700000000001E-10</v>
      </c>
      <c r="S117" s="18">
        <v>33.561635514719768</v>
      </c>
    </row>
    <row r="118" spans="13:19" x14ac:dyDescent="0.3">
      <c r="M118" s="17">
        <v>19</v>
      </c>
      <c r="N118" s="17">
        <v>13</v>
      </c>
      <c r="O118" s="18">
        <v>0.27386723800000001</v>
      </c>
      <c r="P118" s="18">
        <v>33.309229459999997</v>
      </c>
      <c r="Q118" s="19">
        <v>1.0115299999999999E-9</v>
      </c>
      <c r="R118" s="19">
        <v>6.4617900000000003E-10</v>
      </c>
      <c r="S118" s="18">
        <v>33.583096699657709</v>
      </c>
    </row>
    <row r="119" spans="13:19" x14ac:dyDescent="0.3">
      <c r="M119" s="17">
        <v>20</v>
      </c>
      <c r="N119" s="17">
        <v>1</v>
      </c>
      <c r="O119" s="18">
        <v>26.96019235</v>
      </c>
      <c r="P119" s="18">
        <v>22.4203601</v>
      </c>
      <c r="Q119" s="18">
        <v>9.9181798459999992</v>
      </c>
      <c r="R119" s="18">
        <v>9.9870957019999995</v>
      </c>
      <c r="S119" s="18">
        <v>69.285827998000002</v>
      </c>
    </row>
    <row r="120" spans="13:19" x14ac:dyDescent="0.3">
      <c r="M120" s="17">
        <v>21</v>
      </c>
      <c r="N120" s="17">
        <v>22</v>
      </c>
      <c r="O120" s="18">
        <v>4.9844587770000004</v>
      </c>
      <c r="P120" s="18">
        <v>172.89238739999999</v>
      </c>
      <c r="Q120" s="19">
        <v>2.5939999999999999E-9</v>
      </c>
      <c r="R120" s="19">
        <v>7.9427500000000003E-10</v>
      </c>
      <c r="S120" s="18">
        <v>177.87684618038827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failed 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2026-04-12T19:05:59Z</dcterms:created>
  <dcterms:modified xsi:type="dcterms:W3CDTF">2026-05-06T02:29:37Z</dcterms:modified>
</cp:coreProperties>
</file>